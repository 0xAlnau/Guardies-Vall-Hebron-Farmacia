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farmacia\paginaweb 2\Docència (Residents)\CALENDARIOS GUARDIAS,SESIONES, RECUPERACIO\Calendario de guardias y sesiones\"/>
    </mc:Choice>
  </mc:AlternateContent>
  <bookViews>
    <workbookView xWindow="0" yWindow="0" windowWidth="28800" windowHeight="12300" tabRatio="500" activeTab="1"/>
  </bookViews>
  <sheets>
    <sheet name="2025-2026" sheetId="1" r:id="rId1"/>
    <sheet name="2026-2027" sheetId="2" r:id="rId2"/>
    <sheet name="calculs 2026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4" i="3" l="1"/>
  <c r="H24" i="3"/>
  <c r="K24" i="3" s="1"/>
  <c r="L23" i="3"/>
  <c r="H23" i="3"/>
  <c r="I23" i="3" s="1"/>
  <c r="L22" i="3"/>
  <c r="M22" i="3" s="1"/>
  <c r="K22" i="3"/>
  <c r="I22" i="3"/>
  <c r="H22" i="3"/>
  <c r="L19" i="3"/>
  <c r="H19" i="3"/>
  <c r="K19" i="3" s="1"/>
  <c r="L18" i="3"/>
  <c r="H18" i="3"/>
  <c r="K18" i="3" s="1"/>
  <c r="L17" i="3"/>
  <c r="H17" i="3"/>
  <c r="I17" i="3" s="1"/>
  <c r="M17" i="3" s="1"/>
  <c r="L16" i="3"/>
  <c r="H16" i="3"/>
  <c r="K16" i="3" s="1"/>
  <c r="L13" i="3"/>
  <c r="K13" i="3"/>
  <c r="H13" i="3"/>
  <c r="I13" i="3" s="1"/>
  <c r="L12" i="3"/>
  <c r="H12" i="3"/>
  <c r="K12" i="3" s="1"/>
  <c r="L11" i="3"/>
  <c r="M11" i="3" s="1"/>
  <c r="K11" i="3"/>
  <c r="I11" i="3"/>
  <c r="H11" i="3"/>
  <c r="L10" i="3"/>
  <c r="H10" i="3"/>
  <c r="K10" i="3" s="1"/>
  <c r="H7" i="3"/>
  <c r="I7" i="3" s="1"/>
  <c r="H6" i="3"/>
  <c r="I6" i="3" s="1"/>
  <c r="H5" i="3"/>
  <c r="I5" i="3" s="1"/>
  <c r="I4" i="3"/>
  <c r="H4" i="3"/>
  <c r="O7" i="1"/>
  <c r="M23" i="3" l="1"/>
  <c r="M13" i="3"/>
  <c r="M16" i="3"/>
  <c r="M24" i="3"/>
  <c r="I18" i="3"/>
  <c r="M18" i="3" s="1"/>
  <c r="K23" i="3"/>
  <c r="I10" i="3"/>
  <c r="M10" i="3" s="1"/>
  <c r="I12" i="3"/>
  <c r="M12" i="3" s="1"/>
  <c r="K17" i="3"/>
  <c r="I24" i="3"/>
  <c r="I16" i="3"/>
  <c r="I19" i="3"/>
  <c r="M19" i="3" s="1"/>
</calcChain>
</file>

<file path=xl/sharedStrings.xml><?xml version="1.0" encoding="utf-8"?>
<sst xmlns="http://schemas.openxmlformats.org/spreadsheetml/2006/main" count="2362" uniqueCount="212">
  <si>
    <t>1) ELEGIR FESTIUS PREFESTIUS DISSABTES y que cuadren en número</t>
  </si>
  <si>
    <t>Guàrdies</t>
  </si>
  <si>
    <t>R grans (10)</t>
  </si>
  <si>
    <t>R1 (4)</t>
  </si>
  <si>
    <t>20 FESTIUS</t>
  </si>
  <si>
    <t>-</t>
  </si>
  <si>
    <t>20 festius</t>
  </si>
  <si>
    <t>R1 hacen 3 festivos cortos, hay 2 R grans que no escogen festivo corto</t>
  </si>
  <si>
    <t>DILLUNS</t>
  </si>
  <si>
    <t>DIMARTS</t>
  </si>
  <si>
    <t>DIMECRES</t>
  </si>
  <si>
    <t>DIJOUS</t>
  </si>
  <si>
    <t>DIVENDRES</t>
  </si>
  <si>
    <t>DISSABTE</t>
  </si>
  <si>
    <t>DIUMENGE</t>
  </si>
  <si>
    <t>28 (14+14) PREFESTIUS</t>
  </si>
  <si>
    <t>8 dissabtes</t>
  </si>
  <si>
    <t>Mar</t>
  </si>
  <si>
    <t>Nerea</t>
  </si>
  <si>
    <t>Marta</t>
  </si>
  <si>
    <t>Africa</t>
  </si>
  <si>
    <t>AFRICA</t>
  </si>
  <si>
    <t>HELENA</t>
  </si>
  <si>
    <t>CARME</t>
  </si>
  <si>
    <t>2) CAMBIAR LOS NOMBRES DE R1.1.... ESCRIBIR LAS RUEDAS EN PAPEL</t>
  </si>
  <si>
    <t>Claudia</t>
  </si>
  <si>
    <t>Raquel</t>
  </si>
  <si>
    <t>Helena</t>
  </si>
  <si>
    <t>África</t>
  </si>
  <si>
    <t>R1,2</t>
  </si>
  <si>
    <t>Rueda 1 (entresemana + viernes 2): r4321</t>
  </si>
  <si>
    <t>Cristina</t>
  </si>
  <si>
    <t>Carme</t>
  </si>
  <si>
    <t>Jaime</t>
  </si>
  <si>
    <t>Andrea</t>
  </si>
  <si>
    <t>R1,1</t>
  </si>
  <si>
    <t>R1,3</t>
  </si>
  <si>
    <t>R1,4</t>
  </si>
  <si>
    <t>RAQUEL</t>
  </si>
  <si>
    <t>CLAUDIA</t>
  </si>
  <si>
    <t>NEREA</t>
  </si>
  <si>
    <t>MAR</t>
  </si>
  <si>
    <t>JAIME</t>
  </si>
  <si>
    <t>Rueda 1,1 (entresemana larga 2 + domingo larga): janer-soniers-susaners-angeles</t>
  </si>
  <si>
    <t>ANDREA</t>
  </si>
  <si>
    <t>CRIS</t>
  </si>
  <si>
    <t>Rueda 2 (viernes + sabados): r1234</t>
  </si>
  <si>
    <t>random</t>
  </si>
  <si>
    <t>Rueda 3 (domingo corto): r4-1-3-1-2</t>
  </si>
  <si>
    <t>Cris</t>
  </si>
  <si>
    <t>ALEJANDRO</t>
  </si>
  <si>
    <t xml:space="preserve">Rueda 3 (domingo corto con R0) </t>
  </si>
  <si>
    <t>R0,1</t>
  </si>
  <si>
    <t>R0,2</t>
  </si>
  <si>
    <t>R0,3</t>
  </si>
  <si>
    <t>R0,4</t>
  </si>
  <si>
    <t>MARTA</t>
  </si>
  <si>
    <t>ANDREA T</t>
  </si>
  <si>
    <t>Rueda 1,1: Primera vuelta modificada para que sea R1 + R4</t>
  </si>
  <si>
    <t xml:space="preserve">JAIME </t>
  </si>
  <si>
    <t>Rueda 3: cuando los r1 pasan a r2 quitar el segundo bloque de r1 (r4 --&gt; r1 --&gt; r2 --&gt; r3)</t>
  </si>
  <si>
    <t>Rueda 3: añadimos a R0 domingo corto a partir de julio 2026</t>
  </si>
  <si>
    <t>R1.1 (Ángel)</t>
  </si>
  <si>
    <t>Gemma C</t>
  </si>
  <si>
    <t>R1.2 (Susana)</t>
  </si>
  <si>
    <t>Gemma G</t>
  </si>
  <si>
    <t>Maria</t>
  </si>
  <si>
    <t>R1.3 (Sonia)</t>
  </si>
  <si>
    <t xml:space="preserve">Raquel </t>
  </si>
  <si>
    <t>Alejandro</t>
  </si>
  <si>
    <t>R1.4 (Jana)</t>
  </si>
  <si>
    <t>Laura</t>
  </si>
  <si>
    <t>Andrea T</t>
  </si>
  <si>
    <t>EMPEZAR AL AÑO SIGUIENTE POR (MIRAR ESTE APARTADO PARA HACER CALENDARIO!!!)</t>
  </si>
  <si>
    <t>PARA EL AÑO 2025 - 2026</t>
  </si>
  <si>
    <t>Entre semana larga 1 (Rueda 1)</t>
  </si>
  <si>
    <t>OK</t>
  </si>
  <si>
    <t xml:space="preserve">RAQUEL </t>
  </si>
  <si>
    <t>Entre semana larga 2 (Rueda 1,1)</t>
  </si>
  <si>
    <t>raquel</t>
  </si>
  <si>
    <t>Viernes larga 1 (Rueda 1)</t>
  </si>
  <si>
    <t>CANVI CRIS</t>
  </si>
  <si>
    <t>Viernes larga 2 (Rueda 2)</t>
  </si>
  <si>
    <t>CANVI RODA 2</t>
  </si>
  <si>
    <t>claudia</t>
  </si>
  <si>
    <t>nerea</t>
  </si>
  <si>
    <t>mar</t>
  </si>
  <si>
    <t>andrea</t>
  </si>
  <si>
    <t>africa</t>
  </si>
  <si>
    <t>helena</t>
  </si>
  <si>
    <t>cris</t>
  </si>
  <si>
    <t xml:space="preserve">carme </t>
  </si>
  <si>
    <t>jaime</t>
  </si>
  <si>
    <t>Sábado (Rueda 2):</t>
  </si>
  <si>
    <t>Domingo LARGA (Rueda 1,1 saltando R1)</t>
  </si>
  <si>
    <t xml:space="preserve">CRIS </t>
  </si>
  <si>
    <t>Domingo corto (Rueda 3):</t>
  </si>
  <si>
    <t>canvi roda 3</t>
  </si>
  <si>
    <t>carme</t>
  </si>
  <si>
    <t xml:space="preserve">jaime </t>
  </si>
  <si>
    <t xml:space="preserve">nerea </t>
  </si>
  <si>
    <t>ENTRESEMANA MODIFICADOS:</t>
  </si>
  <si>
    <t xml:space="preserve">mar </t>
  </si>
  <si>
    <t>RUEDA PRIMERA VULETA (para que R1 este siempre con R4/R3)</t>
  </si>
  <si>
    <t>Rueda 1 (entresemana + domingo larga):</t>
  </si>
  <si>
    <t>Rueda 1,1 (entresemana larga 2):</t>
  </si>
  <si>
    <t xml:space="preserve">Claudia </t>
  </si>
  <si>
    <t>ÀFRICA</t>
  </si>
  <si>
    <t>PARA EL AÑO 2026 - 2027</t>
  </si>
  <si>
    <t>Entre semana Rueda 1</t>
  </si>
  <si>
    <t>Entre semana Rueda 1,1</t>
  </si>
  <si>
    <t>r0,2</t>
  </si>
  <si>
    <t>r1,2</t>
  </si>
  <si>
    <t>r0,1</t>
  </si>
  <si>
    <t>r1,1</t>
  </si>
  <si>
    <t>r0,4</t>
  </si>
  <si>
    <t>r1,4</t>
  </si>
  <si>
    <t>r0,3</t>
  </si>
  <si>
    <t>r1,3</t>
  </si>
  <si>
    <t>Viernes larga 1 (Rueda 2)</t>
  </si>
  <si>
    <t>Viernes larga 2 (Rueda 1)</t>
  </si>
  <si>
    <t>Àfrica</t>
  </si>
  <si>
    <t>Sábado:</t>
  </si>
  <si>
    <t>Domingo LARGA (Rueda 1,1)</t>
  </si>
  <si>
    <t>ALEX</t>
  </si>
  <si>
    <t>MARIA</t>
  </si>
  <si>
    <t>ANDREA P</t>
  </si>
  <si>
    <t>primeros RANDOMS año 2026-2027</t>
  </si>
  <si>
    <t xml:space="preserve">CLAUDIA </t>
  </si>
  <si>
    <t>cuando sepamos cuando entran los pollitos intentar que cuadre primeras guardias con r mayor</t>
  </si>
  <si>
    <t>SET</t>
  </si>
  <si>
    <t xml:space="preserve">12 dies </t>
  </si>
  <si>
    <t>R0 (x4)</t>
  </si>
  <si>
    <t>R1 (x4)</t>
  </si>
  <si>
    <t>R2 (x4)</t>
  </si>
  <si>
    <t>R3 (x3)</t>
  </si>
  <si>
    <t>2026-2027: TOTAL 15 RESIS</t>
  </si>
  <si>
    <t>R grans (11)</t>
  </si>
  <si>
    <t>INSTRUCCIONES FESTIVOS</t>
  </si>
  <si>
    <t>22 FESTIUS</t>
  </si>
  <si>
    <t>1. Los festivos por calendario hay que ponerlos en verde sí o sí</t>
  </si>
  <si>
    <t>22 festius</t>
  </si>
  <si>
    <t>2. Hay que buscar la manera que todos hagamos los mismos festivos. Se pueden buscar sábados o domingos conflictivos y ponerlos en verde para que quede compensado</t>
  </si>
  <si>
    <t>30 (15+15) prefestius</t>
  </si>
  <si>
    <t>3. Los 8 sábados naranjas son 2 para cada R1. Son sábados conflictivos, en medio de puentes, etc. Se deciden 8 sábados al año</t>
  </si>
  <si>
    <t>Gemma Cullell</t>
  </si>
  <si>
    <t>4. Prefestivos. Los días antes de un festivo por calendario son prefestivos sí o sí.</t>
  </si>
  <si>
    <t>GEMMA Cullell</t>
  </si>
  <si>
    <t xml:space="preserve">ANDREA P </t>
  </si>
  <si>
    <t>RUEDA 2026-2027: R1 hacen 3 festivos cortos, hay 1 R grans que no escogen festivo corto (africa es la elegida)</t>
  </si>
  <si>
    <t>ÁFRICA</t>
  </si>
  <si>
    <t xml:space="preserve">2) ACTUALITZAR ELS NOMS DE LA RODA SEGUINT ORDRE </t>
  </si>
  <si>
    <t>RODA I DIES</t>
  </si>
  <si>
    <t>ORDRE</t>
  </si>
  <si>
    <t>Rueda 1 (entresemana 1 + random)</t>
  </si>
  <si>
    <t>R4321</t>
  </si>
  <si>
    <t>Rueda 1,1 (entresemana 2+ domingo largo)*</t>
  </si>
  <si>
    <t>Jan-Son-Sus-Ang</t>
  </si>
  <si>
    <t>Rueda 2 (Sabados)</t>
  </si>
  <si>
    <t>R1234</t>
  </si>
  <si>
    <t xml:space="preserve">MAR </t>
  </si>
  <si>
    <t>R4-1-3-1-2</t>
  </si>
  <si>
    <t>Andrea P</t>
  </si>
  <si>
    <t>Alex</t>
  </si>
  <si>
    <t xml:space="preserve">Rueda 3 (domingo corto con R0, sin R4) </t>
  </si>
  <si>
    <t>Rueda viernes (compensando horas ambu)</t>
  </si>
  <si>
    <t>12-1234</t>
  </si>
  <si>
    <t xml:space="preserve">MARTA </t>
  </si>
  <si>
    <t>4321-21</t>
  </si>
  <si>
    <t xml:space="preserve">MARIA </t>
  </si>
  <si>
    <t>RESIS</t>
  </si>
  <si>
    <t>PER TENIR EN COMPTE:</t>
  </si>
  <si>
    <t>*Rueda 1,1: Al fer la roda de DOMINGO LARGA, treure als R1 fins al juny (que pasaran a ser R2)</t>
  </si>
  <si>
    <t>*Rueda 3 (domingo corto): A partir d'agost afegir als R0</t>
  </si>
  <si>
    <t>*NO PODEN COINCIDIR DOS R1</t>
  </si>
  <si>
    <t>*Intentar modificar primera vuelta perquè sigui R1+R4/3</t>
  </si>
  <si>
    <t>3) ESCRIURE LA RODA AL CALENDARI TENINT EN COMPTE PER QUI COMENÇAR (segons es va acabar la roda l'any anterior)</t>
  </si>
  <si>
    <t>EMPEZAR POR</t>
  </si>
  <si>
    <t>RANDOM entre semana</t>
  </si>
  <si>
    <t>Entre semana rueda 1 con R0 (empezamos 2 agosto)</t>
  </si>
  <si>
    <t>Entre semana rueda 1.1 con R0</t>
  </si>
  <si>
    <t>3) ESCRIURE AMB QUI S'ACABA LA RODA PER SABER ON COMENÇAR L'ANY QUE VE</t>
  </si>
  <si>
    <t>PARA EL AÑO 2027 - 2028</t>
  </si>
  <si>
    <t>LAURA</t>
  </si>
  <si>
    <t>R0,1 (bloque de R0-R1-R4-R0-R3)</t>
  </si>
  <si>
    <t>GEMMA CULLELL</t>
  </si>
  <si>
    <t xml:space="preserve">ALEJANDRO </t>
  </si>
  <si>
    <t>CAMBIO ORDEN RUEDA SABADOS PARA QUE TENGAN UN ULTIMO SABADO AFRICA HELENA Y ANDREA</t>
  </si>
  <si>
    <t>CHAO R4</t>
  </si>
  <si>
    <t>A partir de aquí ya pueden 2 R1 juntos</t>
  </si>
  <si>
    <t>R1 empiezan domingos largos (ya seran R2)</t>
  </si>
  <si>
    <t>Empiezo rueda de domingo corta con R0</t>
  </si>
  <si>
    <t>HOLA POLLITOS R0</t>
  </si>
  <si>
    <t>R1.1</t>
  </si>
  <si>
    <t>R1.2</t>
  </si>
  <si>
    <t>R1.3</t>
  </si>
  <si>
    <t>Laborables (lunes- jueves)</t>
  </si>
  <si>
    <t>Viernes</t>
  </si>
  <si>
    <t>Sábados</t>
  </si>
  <si>
    <t>Domingo Corto</t>
  </si>
  <si>
    <t>Domingo Largo</t>
  </si>
  <si>
    <t>suma de dias entresemana</t>
  </si>
  <si>
    <t>suma de horas entre semana</t>
  </si>
  <si>
    <t>suma de dias ambu</t>
  </si>
  <si>
    <t>suma total</t>
  </si>
  <si>
    <t>suma horas fin de semana</t>
  </si>
  <si>
    <t>TOTAL horas de guardia / mes</t>
  </si>
  <si>
    <t>R1.4</t>
  </si>
  <si>
    <t>María</t>
  </si>
  <si>
    <t>PROPUESTAS</t>
  </si>
  <si>
    <t xml:space="preserve">Invertir orden de domingos cortos para que helena, Africa i Andrea P han 2 </t>
  </si>
  <si>
    <t>Para compensar ambu: R3 y R4 hacen 2 viernes, R2 hacen 9 y R1 hacen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</si>
</sst>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3]mmm\-yy"/>
    <numFmt numFmtId="165" formatCode="dd\-mmm"/>
    <numFmt numFmtId="166" formatCode="0.0"/>
  </numFmts>
  <fonts count="25" x14ac:knownFonts="1">
    <font>
      <sz val="12"/>
      <color rgb="FF000000"/>
      <name val="Arial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FFFFFF"/>
      <name val="Arial"/>
      <family val="2"/>
      <charset val="1"/>
    </font>
    <font>
      <i/>
      <sz val="12"/>
      <color rgb="FF000000"/>
      <name val="Calibri"/>
      <family val="2"/>
      <charset val="1"/>
    </font>
    <font>
      <sz val="11"/>
      <color rgb="FF9C0006"/>
      <name val="Arial"/>
      <family val="2"/>
      <charset val="1"/>
    </font>
    <font>
      <sz val="12"/>
      <name val="Calibri"/>
      <family val="2"/>
      <charset val="1"/>
    </font>
    <font>
      <sz val="11"/>
      <color rgb="FF006100"/>
      <name val="Arial"/>
      <family val="2"/>
      <charset val="1"/>
    </font>
    <font>
      <b/>
      <sz val="12"/>
      <color rgb="FF000000"/>
      <name val="Calibri"/>
      <family val="2"/>
      <charset val="1"/>
    </font>
    <font>
      <sz val="11"/>
      <color rgb="FF9C6500"/>
      <name val="Arial"/>
      <family val="2"/>
      <charset val="1"/>
    </font>
    <font>
      <b/>
      <sz val="11"/>
      <color rgb="FF006100"/>
      <name val="Arial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ED7D31"/>
        <bgColor rgb="FFF4B083"/>
      </patternFill>
    </fill>
    <fill>
      <patternFill patternType="solid">
        <fgColor rgb="FFFFC7CE"/>
        <bgColor rgb="FFF8CBAD"/>
      </patternFill>
    </fill>
    <fill>
      <patternFill patternType="solid">
        <fgColor rgb="FFC6EFCE"/>
        <bgColor rgb="FFDDE8CB"/>
      </patternFill>
    </fill>
    <fill>
      <patternFill patternType="solid">
        <fgColor rgb="FFFFEB9C"/>
        <bgColor rgb="FFFFE599"/>
      </patternFill>
    </fill>
    <fill>
      <patternFill patternType="solid">
        <fgColor rgb="FFFFE599"/>
        <bgColor rgb="FFFFEB9C"/>
      </patternFill>
    </fill>
    <fill>
      <patternFill patternType="solid">
        <fgColor rgb="FF92D050"/>
        <bgColor rgb="FFB4C7E7"/>
      </patternFill>
    </fill>
    <fill>
      <patternFill patternType="solid">
        <fgColor rgb="FFFFC000"/>
        <bgColor rgb="FFF4B183"/>
      </patternFill>
    </fill>
    <fill>
      <patternFill patternType="solid">
        <fgColor rgb="FFD8D8D8"/>
        <bgColor rgb="FFD9D9D9"/>
      </patternFill>
    </fill>
    <fill>
      <patternFill patternType="solid">
        <fgColor rgb="FF8EAADB"/>
        <bgColor rgb="FF8FAADC"/>
      </patternFill>
    </fill>
    <fill>
      <patternFill patternType="solid">
        <fgColor rgb="FFFFFF00"/>
        <bgColor rgb="FFFFC000"/>
      </patternFill>
    </fill>
    <fill>
      <patternFill patternType="solid">
        <fgColor rgb="FFF4B083"/>
        <bgColor rgb="FFF4B183"/>
      </patternFill>
    </fill>
    <fill>
      <patternFill patternType="solid">
        <fgColor rgb="FFE2F0D9"/>
        <bgColor rgb="FFDDE8CB"/>
      </patternFill>
    </fill>
    <fill>
      <patternFill patternType="solid">
        <fgColor rgb="FFB4C7E7"/>
        <bgColor rgb="FFD9D2E9"/>
      </patternFill>
    </fill>
    <fill>
      <patternFill patternType="solid">
        <fgColor rgb="FFD9D2E9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F8CBAD"/>
        <bgColor rgb="FFFFC7CE"/>
      </patternFill>
    </fill>
    <fill>
      <patternFill patternType="solid">
        <fgColor rgb="FFDADADA"/>
        <bgColor rgb="FFD9D9D9"/>
      </patternFill>
    </fill>
    <fill>
      <patternFill patternType="solid">
        <fgColor rgb="FF8FAADC"/>
        <bgColor rgb="FF8EAADB"/>
      </patternFill>
    </fill>
    <fill>
      <patternFill patternType="solid">
        <fgColor rgb="FFF4B183"/>
        <bgColor rgb="FFF4B083"/>
      </patternFill>
    </fill>
    <fill>
      <patternFill patternType="solid">
        <fgColor rgb="FFDAE3F3"/>
        <bgColor rgb="FFDADADA"/>
      </patternFill>
    </fill>
    <fill>
      <patternFill patternType="solid">
        <fgColor rgb="FFDDE8CB"/>
        <bgColor rgb="FFE2F0D9"/>
      </patternFill>
    </fill>
    <fill>
      <patternFill patternType="solid">
        <fgColor rgb="FFD9D9D9"/>
        <bgColor rgb="FFD8D8D8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8" fillId="2" borderId="0" applyBorder="0" applyProtection="0"/>
    <xf numFmtId="0" fontId="10" fillId="3" borderId="0" applyBorder="0" applyProtection="0"/>
    <xf numFmtId="0" fontId="12" fillId="4" borderId="0" applyBorder="0" applyProtection="0"/>
    <xf numFmtId="0" fontId="14" fillId="5" borderId="0" applyBorder="0" applyProtection="0"/>
  </cellStyleXfs>
  <cellXfs count="168">
    <xf numFmtId="0" fontId="0" fillId="0" borderId="0" xfId="0"/>
    <xf numFmtId="49" fontId="1" fillId="0" borderId="0" xfId="0" applyNumberFormat="1" applyFont="1" applyAlignment="1">
      <alignment horizontal="right"/>
    </xf>
    <xf numFmtId="0" fontId="2" fillId="6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7" borderId="2" xfId="0" applyNumberFormat="1" applyFont="1" applyFill="1" applyBorder="1" applyAlignment="1">
      <alignment horizontal="left" vertical="center"/>
    </xf>
    <xf numFmtId="0" fontId="3" fillId="0" borderId="0" xfId="0" applyFont="1"/>
    <xf numFmtId="164" fontId="4" fillId="8" borderId="1" xfId="0" applyNumberFormat="1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4" fillId="11" borderId="2" xfId="0" applyFont="1" applyFill="1" applyBorder="1" applyAlignment="1">
      <alignment horizontal="right"/>
    </xf>
    <xf numFmtId="0" fontId="4" fillId="9" borderId="2" xfId="0" applyFont="1" applyFill="1" applyBorder="1" applyAlignment="1">
      <alignment horizontal="right"/>
    </xf>
    <xf numFmtId="0" fontId="1" fillId="12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4" fillId="0" borderId="3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4" fillId="11" borderId="3" xfId="0" applyFont="1" applyFill="1" applyBorder="1" applyAlignment="1">
      <alignment horizontal="right"/>
    </xf>
    <xf numFmtId="0" fontId="4" fillId="9" borderId="3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5" xfId="0" applyFont="1" applyBorder="1" applyAlignment="1">
      <alignment horizontal="right"/>
    </xf>
    <xf numFmtId="0" fontId="1" fillId="0" borderId="0" xfId="0" applyFont="1"/>
    <xf numFmtId="0" fontId="1" fillId="13" borderId="0" xfId="0" applyFont="1" applyFill="1"/>
    <xf numFmtId="0" fontId="1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8" fillId="2" borderId="0" xfId="1" applyFont="1" applyBorder="1" applyProtection="1"/>
    <xf numFmtId="0" fontId="4" fillId="0" borderId="5" xfId="0" applyFont="1" applyBorder="1" applyAlignment="1">
      <alignment horizontal="right"/>
    </xf>
    <xf numFmtId="0" fontId="9" fillId="0" borderId="0" xfId="0" applyFont="1"/>
    <xf numFmtId="49" fontId="1" fillId="0" borderId="4" xfId="0" applyNumberFormat="1" applyFont="1" applyBorder="1" applyAlignment="1">
      <alignment horizontal="right"/>
    </xf>
    <xf numFmtId="0" fontId="10" fillId="3" borderId="0" xfId="2" applyFont="1" applyBorder="1" applyProtection="1"/>
    <xf numFmtId="0" fontId="11" fillId="0" borderId="0" xfId="0" applyFont="1"/>
    <xf numFmtId="0" fontId="1" fillId="11" borderId="0" xfId="0" applyFont="1" applyFill="1"/>
    <xf numFmtId="0" fontId="0" fillId="11" borderId="0" xfId="0" applyFill="1"/>
    <xf numFmtId="0" fontId="4" fillId="14" borderId="2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6" fillId="11" borderId="0" xfId="0" applyFont="1" applyFill="1"/>
    <xf numFmtId="0" fontId="4" fillId="14" borderId="3" xfId="0" applyFont="1" applyFill="1" applyBorder="1" applyAlignment="1">
      <alignment horizontal="right"/>
    </xf>
    <xf numFmtId="0" fontId="8" fillId="2" borderId="8" xfId="1" applyFont="1" applyBorder="1" applyAlignment="1" applyProtection="1">
      <alignment horizontal="right"/>
    </xf>
    <xf numFmtId="0" fontId="1" fillId="14" borderId="4" xfId="0" applyFont="1" applyFill="1" applyBorder="1" applyAlignment="1">
      <alignment horizontal="right"/>
    </xf>
    <xf numFmtId="0" fontId="12" fillId="4" borderId="0" xfId="3" applyFont="1" applyBorder="1" applyProtection="1"/>
    <xf numFmtId="164" fontId="4" fillId="8" borderId="2" xfId="0" applyNumberFormat="1" applyFont="1" applyFill="1" applyBorder="1"/>
    <xf numFmtId="0" fontId="4" fillId="0" borderId="0" xfId="0" applyFont="1"/>
    <xf numFmtId="49" fontId="4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7" borderId="2" xfId="0" applyFont="1" applyFill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7" borderId="3" xfId="0" applyFont="1" applyFill="1" applyBorder="1" applyAlignment="1">
      <alignment horizontal="right"/>
    </xf>
    <xf numFmtId="0" fontId="13" fillId="15" borderId="0" xfId="0" applyFont="1" applyFill="1"/>
    <xf numFmtId="0" fontId="1" fillId="15" borderId="0" xfId="0" applyFont="1" applyFill="1"/>
    <xf numFmtId="0" fontId="6" fillId="16" borderId="0" xfId="0" applyFont="1" applyFill="1"/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3" fillId="0" borderId="0" xfId="0" applyFont="1"/>
    <xf numFmtId="0" fontId="4" fillId="11" borderId="7" xfId="0" applyFont="1" applyFill="1" applyBorder="1" applyAlignment="1">
      <alignment horizontal="right"/>
    </xf>
    <xf numFmtId="0" fontId="14" fillId="5" borderId="0" xfId="4" applyFont="1" applyBorder="1" applyProtection="1"/>
    <xf numFmtId="0" fontId="4" fillId="11" borderId="5" xfId="0" applyFont="1" applyFill="1" applyBorder="1" applyAlignment="1">
      <alignment horizontal="right"/>
    </xf>
    <xf numFmtId="0" fontId="1" fillId="11" borderId="6" xfId="0" applyFont="1" applyFill="1" applyBorder="1" applyAlignment="1">
      <alignment horizontal="right"/>
    </xf>
    <xf numFmtId="0" fontId="8" fillId="2" borderId="4" xfId="1" applyFont="1" applyBorder="1" applyAlignment="1" applyProtection="1">
      <alignment horizontal="right"/>
    </xf>
    <xf numFmtId="0" fontId="15" fillId="4" borderId="8" xfId="3" applyFont="1" applyBorder="1" applyProtection="1"/>
    <xf numFmtId="0" fontId="0" fillId="0" borderId="0" xfId="0" applyAlignment="1">
      <alignment horizontal="right"/>
    </xf>
    <xf numFmtId="2" fontId="0" fillId="0" borderId="0" xfId="0" applyNumberFormat="1"/>
    <xf numFmtId="0" fontId="4" fillId="17" borderId="2" xfId="0" applyFont="1" applyFill="1" applyBorder="1" applyAlignment="1">
      <alignment horizontal="right"/>
    </xf>
    <xf numFmtId="0" fontId="7" fillId="14" borderId="3" xfId="0" applyFont="1" applyFill="1" applyBorder="1" applyAlignment="1">
      <alignment horizontal="right"/>
    </xf>
    <xf numFmtId="0" fontId="7" fillId="7" borderId="3" xfId="0" applyFont="1" applyFill="1" applyBorder="1" applyAlignment="1">
      <alignment horizontal="right"/>
    </xf>
    <xf numFmtId="0" fontId="4" fillId="17" borderId="3" xfId="0" applyFont="1" applyFill="1" applyBorder="1" applyAlignment="1">
      <alignment horizontal="right"/>
    </xf>
    <xf numFmtId="0" fontId="1" fillId="17" borderId="4" xfId="0" applyFont="1" applyFill="1" applyBorder="1" applyAlignment="1">
      <alignment horizontal="right"/>
    </xf>
    <xf numFmtId="0" fontId="7" fillId="0" borderId="11" xfId="0" applyFont="1" applyBorder="1" applyAlignment="1">
      <alignment horizontal="right"/>
    </xf>
    <xf numFmtId="165" fontId="0" fillId="0" borderId="0" xfId="0" applyNumberFormat="1"/>
    <xf numFmtId="164" fontId="4" fillId="8" borderId="3" xfId="0" applyNumberFormat="1" applyFont="1" applyFill="1" applyBorder="1"/>
    <xf numFmtId="0" fontId="4" fillId="18" borderId="2" xfId="0" applyFont="1" applyFill="1" applyBorder="1" applyAlignment="1">
      <alignment horizontal="right"/>
    </xf>
    <xf numFmtId="0" fontId="4" fillId="18" borderId="11" xfId="0" applyFont="1" applyFill="1" applyBorder="1" applyAlignment="1">
      <alignment horizontal="right"/>
    </xf>
    <xf numFmtId="0" fontId="1" fillId="18" borderId="13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18" borderId="3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3" fillId="0" borderId="0" xfId="0" applyFont="1" applyAlignment="1">
      <alignment horizontal="center" wrapText="1"/>
    </xf>
    <xf numFmtId="0" fontId="13" fillId="11" borderId="4" xfId="0" applyFont="1" applyFill="1" applyBorder="1" applyAlignment="1">
      <alignment horizontal="right"/>
    </xf>
    <xf numFmtId="0" fontId="16" fillId="9" borderId="3" xfId="0" applyFont="1" applyFill="1" applyBorder="1" applyAlignment="1">
      <alignment horizontal="right"/>
    </xf>
    <xf numFmtId="0" fontId="4" fillId="14" borderId="9" xfId="0" applyFont="1" applyFill="1" applyBorder="1" applyAlignment="1">
      <alignment horizontal="right"/>
    </xf>
    <xf numFmtId="0" fontId="4" fillId="14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2" fillId="0" borderId="0" xfId="0" applyFont="1"/>
    <xf numFmtId="49" fontId="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11" borderId="0" xfId="0" applyFont="1" applyFill="1" applyAlignment="1">
      <alignment wrapText="1"/>
    </xf>
    <xf numFmtId="0" fontId="7" fillId="9" borderId="3" xfId="0" applyFont="1" applyFill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4" fillId="19" borderId="2" xfId="0" applyFont="1" applyFill="1" applyBorder="1" applyAlignment="1">
      <alignment horizontal="right"/>
    </xf>
    <xf numFmtId="0" fontId="4" fillId="20" borderId="2" xfId="0" applyFont="1" applyFill="1" applyBorder="1" applyAlignment="1">
      <alignment horizontal="right"/>
    </xf>
    <xf numFmtId="0" fontId="1" fillId="19" borderId="1" xfId="0" applyFont="1" applyFill="1" applyBorder="1"/>
    <xf numFmtId="0" fontId="4" fillId="19" borderId="3" xfId="0" applyFont="1" applyFill="1" applyBorder="1" applyAlignment="1">
      <alignment horizontal="right"/>
    </xf>
    <xf numFmtId="0" fontId="4" fillId="20" borderId="3" xfId="0" applyFont="1" applyFill="1" applyBorder="1" applyAlignment="1">
      <alignment horizontal="right"/>
    </xf>
    <xf numFmtId="0" fontId="1" fillId="20" borderId="1" xfId="0" applyFont="1" applyFill="1" applyBorder="1"/>
    <xf numFmtId="0" fontId="1" fillId="19" borderId="4" xfId="0" applyFont="1" applyFill="1" applyBorder="1" applyAlignment="1">
      <alignment horizontal="right"/>
    </xf>
    <xf numFmtId="0" fontId="5" fillId="0" borderId="0" xfId="0" applyFont="1"/>
    <xf numFmtId="0" fontId="8" fillId="0" borderId="0" xfId="1" applyFont="1" applyFill="1" applyBorder="1" applyProtection="1"/>
    <xf numFmtId="0" fontId="13" fillId="15" borderId="11" xfId="0" applyFont="1" applyFill="1" applyBorder="1"/>
    <xf numFmtId="0" fontId="1" fillId="0" borderId="11" xfId="0" applyFont="1" applyBorder="1"/>
    <xf numFmtId="0" fontId="17" fillId="2" borderId="0" xfId="1" applyFont="1" applyBorder="1" applyProtection="1"/>
    <xf numFmtId="0" fontId="18" fillId="0" borderId="11" xfId="0" applyFont="1" applyBorder="1"/>
    <xf numFmtId="0" fontId="1" fillId="11" borderId="3" xfId="0" applyFont="1" applyFill="1" applyBorder="1" applyAlignment="1">
      <alignment wrapText="1"/>
    </xf>
    <xf numFmtId="0" fontId="1" fillId="11" borderId="4" xfId="0" applyFont="1" applyFill="1" applyBorder="1" applyAlignment="1">
      <alignment wrapText="1"/>
    </xf>
    <xf numFmtId="0" fontId="19" fillId="0" borderId="0" xfId="0" applyFont="1"/>
    <xf numFmtId="0" fontId="19" fillId="0" borderId="0" xfId="0" applyFont="1" applyAlignment="1">
      <alignment horizontal="right"/>
    </xf>
    <xf numFmtId="0" fontId="0" fillId="0" borderId="11" xfId="0" applyBorder="1"/>
    <xf numFmtId="0" fontId="1" fillId="21" borderId="0" xfId="0" applyFont="1" applyFill="1"/>
    <xf numFmtId="0" fontId="1" fillId="0" borderId="0" xfId="0" applyFont="1" applyAlignment="1">
      <alignment wrapText="1"/>
    </xf>
    <xf numFmtId="0" fontId="1" fillId="22" borderId="0" xfId="0" applyFont="1" applyFill="1" applyAlignment="1">
      <alignment wrapText="1"/>
    </xf>
    <xf numFmtId="164" fontId="13" fillId="8" borderId="2" xfId="0" applyNumberFormat="1" applyFont="1" applyFill="1" applyBorder="1"/>
    <xf numFmtId="49" fontId="13" fillId="0" borderId="0" xfId="0" applyNumberFormat="1" applyFont="1" applyAlignment="1">
      <alignment horizontal="right"/>
    </xf>
    <xf numFmtId="0" fontId="13" fillId="0" borderId="12" xfId="0" applyFont="1" applyBorder="1" applyAlignment="1">
      <alignment horizontal="right"/>
    </xf>
    <xf numFmtId="0" fontId="0" fillId="0" borderId="12" xfId="0" applyBorder="1"/>
    <xf numFmtId="0" fontId="20" fillId="4" borderId="0" xfId="3" applyFont="1" applyBorder="1" applyAlignment="1" applyProtection="1">
      <alignment horizontal="left"/>
    </xf>
    <xf numFmtId="0" fontId="1" fillId="0" borderId="3" xfId="0" applyFont="1" applyBorder="1"/>
    <xf numFmtId="0" fontId="14" fillId="0" borderId="0" xfId="4" applyFont="1" applyFill="1" applyBorder="1" applyProtection="1"/>
    <xf numFmtId="0" fontId="1" fillId="0" borderId="4" xfId="0" applyFont="1" applyBorder="1"/>
    <xf numFmtId="0" fontId="11" fillId="13" borderId="0" xfId="0" applyFont="1" applyFill="1"/>
    <xf numFmtId="0" fontId="21" fillId="0" borderId="0" xfId="0" applyFont="1"/>
    <xf numFmtId="0" fontId="1" fillId="20" borderId="4" xfId="0" applyFont="1" applyFill="1" applyBorder="1" applyAlignment="1">
      <alignment horizontal="right"/>
    </xf>
    <xf numFmtId="0" fontId="4" fillId="23" borderId="2" xfId="0" applyFont="1" applyFill="1" applyBorder="1" applyAlignment="1">
      <alignment horizontal="right"/>
    </xf>
    <xf numFmtId="0" fontId="8" fillId="2" borderId="3" xfId="1" applyFont="1" applyBorder="1" applyProtection="1"/>
    <xf numFmtId="0" fontId="7" fillId="23" borderId="3" xfId="0" applyFont="1" applyFill="1" applyBorder="1" applyAlignment="1">
      <alignment horizontal="right"/>
    </xf>
    <xf numFmtId="0" fontId="1" fillId="23" borderId="4" xfId="0" applyFont="1" applyFill="1" applyBorder="1" applyAlignment="1">
      <alignment horizontal="right"/>
    </xf>
    <xf numFmtId="0" fontId="4" fillId="7" borderId="13" xfId="0" applyFont="1" applyFill="1" applyBorder="1" applyAlignment="1">
      <alignment horizontal="right"/>
    </xf>
    <xf numFmtId="0" fontId="4" fillId="19" borderId="7" xfId="0" applyFont="1" applyFill="1" applyBorder="1" applyAlignment="1">
      <alignment horizontal="right"/>
    </xf>
    <xf numFmtId="0" fontId="1" fillId="19" borderId="2" xfId="0" applyFont="1" applyFill="1" applyBorder="1" applyAlignment="1">
      <alignment horizontal="right"/>
    </xf>
    <xf numFmtId="0" fontId="4" fillId="7" borderId="9" xfId="0" applyFont="1" applyFill="1" applyBorder="1" applyAlignment="1">
      <alignment horizontal="right"/>
    </xf>
    <xf numFmtId="0" fontId="4" fillId="19" borderId="5" xfId="0" applyFont="1" applyFill="1" applyBorder="1" applyAlignment="1">
      <alignment horizontal="right"/>
    </xf>
    <xf numFmtId="0" fontId="7" fillId="7" borderId="11" xfId="0" applyFont="1" applyFill="1" applyBorder="1" applyAlignment="1">
      <alignment horizontal="right"/>
    </xf>
    <xf numFmtId="0" fontId="4" fillId="19" borderId="6" xfId="0" applyFont="1" applyFill="1" applyBorder="1" applyAlignment="1">
      <alignment horizontal="right"/>
    </xf>
    <xf numFmtId="0" fontId="1" fillId="7" borderId="12" xfId="0" applyFont="1" applyFill="1" applyBorder="1" applyAlignment="1">
      <alignment horizontal="right"/>
    </xf>
    <xf numFmtId="0" fontId="7" fillId="18" borderId="11" xfId="0" applyFont="1" applyFill="1" applyBorder="1" applyAlignment="1">
      <alignment horizontal="right"/>
    </xf>
    <xf numFmtId="0" fontId="1" fillId="11" borderId="12" xfId="0" applyFont="1" applyFill="1" applyBorder="1" applyAlignment="1">
      <alignment wrapText="1"/>
    </xf>
    <xf numFmtId="0" fontId="1" fillId="11" borderId="11" xfId="0" applyFont="1" applyFill="1" applyBorder="1" applyAlignment="1">
      <alignment wrapText="1"/>
    </xf>
    <xf numFmtId="0" fontId="7" fillId="18" borderId="3" xfId="0" applyFont="1" applyFill="1" applyBorder="1" applyAlignment="1">
      <alignment horizontal="right"/>
    </xf>
    <xf numFmtId="0" fontId="1" fillId="11" borderId="6" xfId="0" applyFont="1" applyFill="1" applyBorder="1" applyAlignment="1">
      <alignment wrapText="1"/>
    </xf>
    <xf numFmtId="0" fontId="1" fillId="7" borderId="13" xfId="0" applyFont="1" applyFill="1" applyBorder="1" applyAlignment="1">
      <alignment horizontal="right"/>
    </xf>
    <xf numFmtId="0" fontId="1" fillId="11" borderId="2" xfId="0" applyFont="1" applyFill="1" applyBorder="1" applyAlignment="1">
      <alignment wrapText="1"/>
    </xf>
    <xf numFmtId="0" fontId="5" fillId="0" borderId="0" xfId="0" applyFont="1" applyAlignment="1">
      <alignment horizontal="center" wrapText="1"/>
    </xf>
    <xf numFmtId="0" fontId="17" fillId="0" borderId="4" xfId="1" applyFont="1" applyFill="1" applyBorder="1" applyAlignment="1" applyProtection="1">
      <alignment horizontal="right"/>
    </xf>
    <xf numFmtId="0" fontId="22" fillId="23" borderId="3" xfId="0" applyFont="1" applyFill="1" applyBorder="1" applyAlignment="1">
      <alignment horizontal="right"/>
    </xf>
    <xf numFmtId="0" fontId="7" fillId="19" borderId="3" xfId="0" applyFont="1" applyFill="1" applyBorder="1" applyAlignment="1">
      <alignment horizontal="right"/>
    </xf>
    <xf numFmtId="0" fontId="1" fillId="0" borderId="13" xfId="0" applyFont="1" applyBorder="1"/>
    <xf numFmtId="0" fontId="0" fillId="0" borderId="0" xfId="0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3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166" fontId="0" fillId="0" borderId="0" xfId="0" applyNumberFormat="1"/>
    <xf numFmtId="0" fontId="13" fillId="16" borderId="0" xfId="0" applyFont="1" applyFill="1" applyBorder="1" applyAlignment="1">
      <alignment horizontal="center"/>
    </xf>
  </cellXfs>
  <cellStyles count="5">
    <cellStyle name="Excel Built-in Accent2" xfId="1"/>
    <cellStyle name="Excel Built-in Bad" xfId="2"/>
    <cellStyle name="Excel Built-in Good" xfId="3"/>
    <cellStyle name="Excel Built-in Neutral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4C7E7"/>
      <rgbColor rgb="FF7F7F7F"/>
      <rgbColor rgb="FF8FAADC"/>
      <rgbColor rgb="FF993366"/>
      <rgbColor rgb="FFE2F0D9"/>
      <rgbColor rgb="FFDAE3F3"/>
      <rgbColor rgb="FF660066"/>
      <rgbColor rgb="FFF4B183"/>
      <rgbColor rgb="FF0066CC"/>
      <rgbColor rgb="FFD9D2E9"/>
      <rgbColor rgb="FF000080"/>
      <rgbColor rgb="FFFF00FF"/>
      <rgbColor rgb="FFFFE599"/>
      <rgbColor rgb="FF00FFFF"/>
      <rgbColor rgb="FF800080"/>
      <rgbColor rgb="FF800000"/>
      <rgbColor rgb="FF008080"/>
      <rgbColor rgb="FF0000FF"/>
      <rgbColor rgb="FF00CCFF"/>
      <rgbColor rgb="FFDDE8CB"/>
      <rgbColor rgb="FFC6EFCE"/>
      <rgbColor rgb="FFFFEB9C"/>
      <rgbColor rgb="FFD8D8D8"/>
      <rgbColor rgb="FFF4B083"/>
      <rgbColor rgb="FFFFC7CE"/>
      <rgbColor rgb="FFF8CBAD"/>
      <rgbColor rgb="FF3366FF"/>
      <rgbColor rgb="FFDADADA"/>
      <rgbColor rgb="FF92D050"/>
      <rgbColor rgb="FFFFC000"/>
      <rgbColor rgb="FFD9D9D9"/>
      <rgbColor rgb="FFED7D31"/>
      <rgbColor rgb="FF666699"/>
      <rgbColor rgb="FF8EAAD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8"/>
  <sheetViews>
    <sheetView topLeftCell="A223" zoomScale="95" zoomScaleNormal="95" workbookViewId="0">
      <selection activeCell="B232" sqref="B232"/>
    </sheetView>
  </sheetViews>
  <sheetFormatPr defaultColWidth="8.5546875" defaultRowHeight="15" customHeight="1" x14ac:dyDescent="0.2"/>
  <cols>
    <col min="1" max="1" width="14.21875" customWidth="1"/>
    <col min="2" max="2" width="14.109375" customWidth="1"/>
    <col min="3" max="3" width="14.77734375" customWidth="1"/>
    <col min="4" max="5" width="10.6640625" customWidth="1"/>
    <col min="6" max="6" width="12.77734375" customWidth="1"/>
    <col min="7" max="7" width="15" customWidth="1"/>
  </cols>
  <sheetData>
    <row r="1" spans="1:32" ht="15.75" x14ac:dyDescent="0.25">
      <c r="F1" s="1"/>
      <c r="M1" s="2" t="s">
        <v>0</v>
      </c>
      <c r="N1" s="2"/>
      <c r="O1" s="2"/>
      <c r="P1" s="2"/>
      <c r="Q1" s="2"/>
    </row>
    <row r="2" spans="1:32" ht="15.75" x14ac:dyDescent="0.25">
      <c r="M2" s="3" t="s">
        <v>1</v>
      </c>
      <c r="N2" s="4" t="s">
        <v>2</v>
      </c>
      <c r="O2" s="4" t="s">
        <v>3</v>
      </c>
    </row>
    <row r="3" spans="1:32" ht="15.75" x14ac:dyDescent="0.25">
      <c r="M3" s="5" t="s">
        <v>4</v>
      </c>
      <c r="N3" s="4">
        <v>2</v>
      </c>
      <c r="O3" s="4" t="s">
        <v>5</v>
      </c>
      <c r="Q3" s="6"/>
      <c r="R3" s="6"/>
    </row>
    <row r="4" spans="1:32" ht="15.75" x14ac:dyDescent="0.25">
      <c r="A4" s="7">
        <v>45931</v>
      </c>
      <c r="F4" s="1"/>
      <c r="M4" s="5" t="s">
        <v>6</v>
      </c>
      <c r="N4" s="8">
        <v>1</v>
      </c>
      <c r="O4" s="8">
        <v>3</v>
      </c>
      <c r="P4">
        <v>9</v>
      </c>
      <c r="Q4" s="6"/>
      <c r="R4" s="6" t="s">
        <v>7</v>
      </c>
    </row>
    <row r="5" spans="1:32" ht="15.75" x14ac:dyDescent="0.25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10" t="s">
        <v>13</v>
      </c>
      <c r="G5" s="11" t="s">
        <v>14</v>
      </c>
      <c r="M5" s="12" t="s">
        <v>15</v>
      </c>
      <c r="N5" s="4">
        <v>2</v>
      </c>
      <c r="O5" s="4">
        <v>2</v>
      </c>
      <c r="P5">
        <v>8</v>
      </c>
    </row>
    <row r="6" spans="1:32" ht="15.75" x14ac:dyDescent="0.25">
      <c r="A6" s="13"/>
      <c r="B6" s="14"/>
      <c r="C6" s="14">
        <v>1</v>
      </c>
      <c r="D6" s="14">
        <v>2</v>
      </c>
      <c r="E6" s="15">
        <v>3</v>
      </c>
      <c r="F6" s="14">
        <v>4</v>
      </c>
      <c r="G6" s="16">
        <v>5</v>
      </c>
      <c r="M6" s="17" t="s">
        <v>16</v>
      </c>
      <c r="N6" s="18" t="s">
        <v>5</v>
      </c>
      <c r="O6" s="4">
        <v>2</v>
      </c>
      <c r="P6">
        <v>8</v>
      </c>
      <c r="Q6" s="19"/>
      <c r="T6" s="6"/>
    </row>
    <row r="7" spans="1:32" ht="15.75" x14ac:dyDescent="0.25">
      <c r="A7" s="13"/>
      <c r="B7" s="20"/>
      <c r="C7" s="21" t="s">
        <v>17</v>
      </c>
      <c r="D7" s="21" t="s">
        <v>18</v>
      </c>
      <c r="E7" s="22" t="s">
        <v>19</v>
      </c>
      <c r="F7" s="20"/>
      <c r="G7" s="23" t="s">
        <v>20</v>
      </c>
      <c r="O7">
        <f>12+8+8</f>
        <v>28</v>
      </c>
    </row>
    <row r="8" spans="1:32" ht="15.75" x14ac:dyDescent="0.25">
      <c r="A8" s="13"/>
      <c r="B8" s="24"/>
      <c r="C8" s="24" t="s">
        <v>21</v>
      </c>
      <c r="D8" s="24" t="s">
        <v>22</v>
      </c>
      <c r="E8" s="25" t="s">
        <v>23</v>
      </c>
      <c r="F8" s="24" t="s">
        <v>21</v>
      </c>
      <c r="G8" s="26" t="s">
        <v>22</v>
      </c>
      <c r="N8" s="27"/>
      <c r="O8" s="28"/>
    </row>
    <row r="9" spans="1:32" ht="15.75" x14ac:dyDescent="0.25">
      <c r="A9" s="14">
        <v>6</v>
      </c>
      <c r="B9" s="14">
        <v>7</v>
      </c>
      <c r="C9" s="14">
        <v>8</v>
      </c>
      <c r="D9" s="14">
        <v>9</v>
      </c>
      <c r="E9" s="15">
        <v>10</v>
      </c>
      <c r="F9" s="14">
        <v>11</v>
      </c>
      <c r="G9" s="16">
        <v>12</v>
      </c>
      <c r="M9" s="2" t="s">
        <v>24</v>
      </c>
      <c r="N9" s="2"/>
      <c r="O9" s="2"/>
      <c r="P9" s="2"/>
      <c r="Q9" s="2"/>
    </row>
    <row r="10" spans="1:32" ht="15.75" x14ac:dyDescent="0.25">
      <c r="A10" s="21" t="s">
        <v>25</v>
      </c>
      <c r="B10" s="21" t="s">
        <v>26</v>
      </c>
      <c r="C10" s="29" t="s">
        <v>27</v>
      </c>
      <c r="D10" s="21" t="s">
        <v>28</v>
      </c>
      <c r="E10" s="22" t="s">
        <v>29</v>
      </c>
      <c r="F10" s="20"/>
      <c r="G10" s="23" t="s">
        <v>27</v>
      </c>
      <c r="K10" s="19"/>
      <c r="M10" s="30" t="s">
        <v>30</v>
      </c>
      <c r="N10" s="30" t="s">
        <v>31</v>
      </c>
      <c r="O10" s="30" t="s">
        <v>32</v>
      </c>
      <c r="P10" s="30" t="s">
        <v>33</v>
      </c>
      <c r="Q10" s="30" t="s">
        <v>34</v>
      </c>
      <c r="R10" s="30" t="s">
        <v>28</v>
      </c>
      <c r="S10" s="30" t="s">
        <v>27</v>
      </c>
      <c r="T10" s="30" t="s">
        <v>26</v>
      </c>
      <c r="U10" s="30" t="s">
        <v>25</v>
      </c>
      <c r="V10" s="30" t="s">
        <v>18</v>
      </c>
      <c r="W10" s="30" t="s">
        <v>17</v>
      </c>
      <c r="X10" s="31" t="s">
        <v>35</v>
      </c>
      <c r="Y10" s="31" t="s">
        <v>29</v>
      </c>
      <c r="Z10" s="31" t="s">
        <v>36</v>
      </c>
      <c r="AA10" s="31" t="s">
        <v>37</v>
      </c>
    </row>
    <row r="11" spans="1:32" ht="15.75" x14ac:dyDescent="0.25">
      <c r="A11" s="24" t="s">
        <v>38</v>
      </c>
      <c r="B11" s="24" t="s">
        <v>39</v>
      </c>
      <c r="C11" s="32" t="s">
        <v>40</v>
      </c>
      <c r="D11" s="24" t="s">
        <v>41</v>
      </c>
      <c r="E11" s="25" t="s">
        <v>42</v>
      </c>
      <c r="F11" s="20" t="s">
        <v>22</v>
      </c>
      <c r="G11" s="26" t="s">
        <v>42</v>
      </c>
      <c r="K11" s="19"/>
      <c r="M11" s="30" t="s">
        <v>43</v>
      </c>
      <c r="N11" s="31" t="s">
        <v>37</v>
      </c>
      <c r="O11" s="30" t="s">
        <v>41</v>
      </c>
      <c r="P11" s="30" t="s">
        <v>44</v>
      </c>
      <c r="Q11" s="30" t="s">
        <v>45</v>
      </c>
      <c r="R11" s="31" t="s">
        <v>36</v>
      </c>
      <c r="S11" s="30" t="s">
        <v>40</v>
      </c>
      <c r="T11" s="30" t="s">
        <v>21</v>
      </c>
      <c r="U11" s="30" t="s">
        <v>23</v>
      </c>
      <c r="V11" s="31" t="s">
        <v>29</v>
      </c>
      <c r="W11" s="30" t="s">
        <v>39</v>
      </c>
      <c r="X11" s="30" t="s">
        <v>22</v>
      </c>
      <c r="Y11" s="30" t="s">
        <v>42</v>
      </c>
      <c r="Z11" s="31" t="s">
        <v>35</v>
      </c>
      <c r="AA11" s="30" t="s">
        <v>38</v>
      </c>
    </row>
    <row r="12" spans="1:32" ht="15.75" x14ac:dyDescent="0.25">
      <c r="A12" s="14">
        <v>13</v>
      </c>
      <c r="B12" s="33">
        <v>14</v>
      </c>
      <c r="C12" s="14">
        <v>15</v>
      </c>
      <c r="D12" s="14">
        <v>16</v>
      </c>
      <c r="E12" s="15">
        <v>17</v>
      </c>
      <c r="F12" s="14">
        <v>18</v>
      </c>
      <c r="G12" s="16">
        <v>19</v>
      </c>
      <c r="K12" s="19"/>
      <c r="M12" s="30" t="s">
        <v>46</v>
      </c>
      <c r="N12" s="31" t="s">
        <v>35</v>
      </c>
      <c r="O12" s="31" t="s">
        <v>29</v>
      </c>
      <c r="P12" s="31" t="s">
        <v>36</v>
      </c>
      <c r="Q12" s="31" t="s">
        <v>37</v>
      </c>
      <c r="R12" s="30" t="s">
        <v>38</v>
      </c>
      <c r="S12" s="30" t="s">
        <v>39</v>
      </c>
      <c r="T12" s="30" t="s">
        <v>40</v>
      </c>
      <c r="U12" s="30" t="s">
        <v>41</v>
      </c>
      <c r="V12" s="30" t="s">
        <v>44</v>
      </c>
      <c r="W12" s="30" t="s">
        <v>21</v>
      </c>
      <c r="X12" s="30" t="s">
        <v>22</v>
      </c>
      <c r="Y12" s="30" t="s">
        <v>45</v>
      </c>
      <c r="Z12" s="30" t="s">
        <v>23</v>
      </c>
      <c r="AA12" s="30" t="s">
        <v>42</v>
      </c>
      <c r="AB12" s="34" t="s">
        <v>47</v>
      </c>
    </row>
    <row r="13" spans="1:32" ht="15.75" x14ac:dyDescent="0.25">
      <c r="A13" s="20"/>
      <c r="B13" s="35"/>
      <c r="C13" s="20"/>
      <c r="D13" s="20"/>
      <c r="E13" s="22"/>
      <c r="F13" s="20"/>
      <c r="G13" s="23"/>
      <c r="K13" s="19"/>
      <c r="M13" s="30" t="s">
        <v>48</v>
      </c>
      <c r="N13" s="30" t="s">
        <v>31</v>
      </c>
      <c r="O13" s="30" t="s">
        <v>32</v>
      </c>
      <c r="P13" s="30" t="s">
        <v>33</v>
      </c>
      <c r="Q13" s="31" t="s">
        <v>35</v>
      </c>
      <c r="R13" s="31" t="s">
        <v>29</v>
      </c>
      <c r="S13" s="31" t="s">
        <v>36</v>
      </c>
      <c r="T13" s="31" t="s">
        <v>37</v>
      </c>
      <c r="U13" s="30" t="s">
        <v>34</v>
      </c>
      <c r="V13" s="30" t="s">
        <v>28</v>
      </c>
      <c r="W13" s="30" t="s">
        <v>27</v>
      </c>
      <c r="X13" s="31" t="s">
        <v>35</v>
      </c>
      <c r="Y13" s="31" t="s">
        <v>29</v>
      </c>
      <c r="Z13" s="31" t="s">
        <v>36</v>
      </c>
      <c r="AA13" s="31" t="s">
        <v>37</v>
      </c>
      <c r="AB13" s="30" t="s">
        <v>26</v>
      </c>
      <c r="AC13" s="30" t="s">
        <v>25</v>
      </c>
      <c r="AD13" s="30" t="s">
        <v>18</v>
      </c>
      <c r="AE13" s="30" t="s">
        <v>17</v>
      </c>
    </row>
    <row r="14" spans="1:32" ht="15.75" x14ac:dyDescent="0.25">
      <c r="A14" s="21" t="s">
        <v>34</v>
      </c>
      <c r="B14" s="21" t="s">
        <v>33</v>
      </c>
      <c r="C14" s="21" t="s">
        <v>32</v>
      </c>
      <c r="D14" s="21" t="s">
        <v>49</v>
      </c>
      <c r="E14" s="22" t="s">
        <v>50</v>
      </c>
      <c r="F14" s="20"/>
      <c r="G14" s="23" t="s">
        <v>19</v>
      </c>
      <c r="K14" s="19"/>
      <c r="M14" s="36" t="s">
        <v>51</v>
      </c>
      <c r="N14" s="30" t="s">
        <v>34</v>
      </c>
      <c r="O14" s="30" t="s">
        <v>20</v>
      </c>
      <c r="P14" s="30" t="s">
        <v>27</v>
      </c>
      <c r="Q14" s="31" t="s">
        <v>52</v>
      </c>
      <c r="R14" s="31" t="s">
        <v>53</v>
      </c>
      <c r="S14" s="31" t="s">
        <v>54</v>
      </c>
      <c r="T14" s="31" t="s">
        <v>55</v>
      </c>
      <c r="U14" t="s">
        <v>26</v>
      </c>
      <c r="V14" t="s">
        <v>25</v>
      </c>
      <c r="W14" t="s">
        <v>18</v>
      </c>
      <c r="X14" t="s">
        <v>17</v>
      </c>
      <c r="Y14" s="31" t="s">
        <v>52</v>
      </c>
      <c r="Z14" s="31" t="s">
        <v>53</v>
      </c>
      <c r="AA14" s="31" t="s">
        <v>54</v>
      </c>
      <c r="AB14" s="31" t="s">
        <v>55</v>
      </c>
      <c r="AC14" s="30" t="s">
        <v>35</v>
      </c>
      <c r="AD14" s="30" t="s">
        <v>29</v>
      </c>
      <c r="AE14" s="30" t="s">
        <v>36</v>
      </c>
      <c r="AF14" s="30" t="s">
        <v>37</v>
      </c>
    </row>
    <row r="15" spans="1:32" ht="15.75" x14ac:dyDescent="0.25">
      <c r="A15" s="24" t="s">
        <v>56</v>
      </c>
      <c r="B15" s="24" t="s">
        <v>29</v>
      </c>
      <c r="C15" s="32" t="s">
        <v>50</v>
      </c>
      <c r="D15" s="32" t="s">
        <v>57</v>
      </c>
      <c r="E15" s="25" t="s">
        <v>44</v>
      </c>
      <c r="F15" s="37" t="s">
        <v>45</v>
      </c>
      <c r="G15" s="26" t="s">
        <v>38</v>
      </c>
      <c r="K15" s="19"/>
    </row>
    <row r="16" spans="1:32" ht="15.75" x14ac:dyDescent="0.25">
      <c r="A16" s="14">
        <v>20</v>
      </c>
      <c r="B16" s="14">
        <v>21</v>
      </c>
      <c r="C16" s="14">
        <v>22</v>
      </c>
      <c r="D16" s="14">
        <v>23</v>
      </c>
      <c r="E16" s="15">
        <v>24</v>
      </c>
      <c r="F16" s="14">
        <v>25</v>
      </c>
      <c r="G16" s="16">
        <v>26</v>
      </c>
      <c r="K16" s="19"/>
    </row>
    <row r="17" spans="1:31" ht="15.75" x14ac:dyDescent="0.25">
      <c r="A17" s="21" t="s">
        <v>19</v>
      </c>
      <c r="B17" s="21" t="s">
        <v>29</v>
      </c>
      <c r="C17" s="21" t="s">
        <v>50</v>
      </c>
      <c r="D17" s="21" t="s">
        <v>18</v>
      </c>
      <c r="E17" s="22" t="s">
        <v>57</v>
      </c>
      <c r="F17" s="20"/>
      <c r="G17" s="23" t="s">
        <v>29</v>
      </c>
      <c r="K17" s="19"/>
      <c r="M17" s="38" t="s">
        <v>58</v>
      </c>
      <c r="N17" s="31" t="s">
        <v>37</v>
      </c>
      <c r="O17" s="31" t="s">
        <v>36</v>
      </c>
      <c r="P17" s="31" t="s">
        <v>29</v>
      </c>
      <c r="Q17" s="31" t="s">
        <v>35</v>
      </c>
      <c r="R17" s="30" t="s">
        <v>17</v>
      </c>
      <c r="S17" s="30" t="s">
        <v>18</v>
      </c>
      <c r="T17" s="30" t="s">
        <v>25</v>
      </c>
      <c r="U17" s="30" t="s">
        <v>26</v>
      </c>
      <c r="V17" s="30" t="s">
        <v>27</v>
      </c>
      <c r="W17" s="30" t="s">
        <v>28</v>
      </c>
      <c r="X17" s="30" t="s">
        <v>34</v>
      </c>
      <c r="Y17" s="30" t="s">
        <v>33</v>
      </c>
      <c r="Z17" s="30" t="s">
        <v>32</v>
      </c>
      <c r="AA17" s="30" t="s">
        <v>49</v>
      </c>
      <c r="AC17" s="39"/>
      <c r="AD17" s="39"/>
    </row>
    <row r="18" spans="1:31" ht="15.75" x14ac:dyDescent="0.25">
      <c r="A18" s="24" t="s">
        <v>45</v>
      </c>
      <c r="B18" s="24" t="s">
        <v>23</v>
      </c>
      <c r="C18" s="24" t="s">
        <v>59</v>
      </c>
      <c r="D18" s="24" t="s">
        <v>44</v>
      </c>
      <c r="E18" s="25" t="s">
        <v>21</v>
      </c>
      <c r="F18" s="37" t="s">
        <v>23</v>
      </c>
      <c r="G18" s="26" t="s">
        <v>41</v>
      </c>
      <c r="K18" s="19"/>
      <c r="M18" s="40" t="s">
        <v>60</v>
      </c>
      <c r="N18" s="41"/>
      <c r="O18" s="41"/>
      <c r="P18" s="41"/>
      <c r="Q18" s="41"/>
    </row>
    <row r="19" spans="1:31" ht="15.75" x14ac:dyDescent="0.25">
      <c r="A19" s="14">
        <v>27</v>
      </c>
      <c r="B19" s="14">
        <v>28</v>
      </c>
      <c r="C19" s="14">
        <v>29</v>
      </c>
      <c r="D19" s="14">
        <v>30</v>
      </c>
      <c r="E19" s="42">
        <v>31</v>
      </c>
      <c r="F19" s="43"/>
      <c r="G19" s="43"/>
      <c r="K19" s="19"/>
      <c r="M19" s="40" t="s">
        <v>61</v>
      </c>
      <c r="N19" s="40"/>
      <c r="O19" s="44"/>
      <c r="P19" s="44"/>
      <c r="Q19" s="44"/>
    </row>
    <row r="20" spans="1:31" ht="15.75" x14ac:dyDescent="0.25">
      <c r="A20" s="21" t="s">
        <v>17</v>
      </c>
      <c r="B20" s="21" t="s">
        <v>34</v>
      </c>
      <c r="C20" s="21" t="s">
        <v>49</v>
      </c>
      <c r="D20" s="21" t="s">
        <v>50</v>
      </c>
      <c r="E20" s="45" t="s">
        <v>57</v>
      </c>
      <c r="F20" s="43"/>
      <c r="G20" s="43"/>
      <c r="K20" s="19"/>
    </row>
    <row r="21" spans="1:31" ht="15.75" x14ac:dyDescent="0.25">
      <c r="A21" s="46" t="s">
        <v>22</v>
      </c>
      <c r="B21" s="24" t="s">
        <v>21</v>
      </c>
      <c r="C21" s="24" t="s">
        <v>22</v>
      </c>
      <c r="D21" s="24" t="s">
        <v>38</v>
      </c>
      <c r="E21" s="47" t="s">
        <v>42</v>
      </c>
      <c r="F21" s="13"/>
      <c r="G21" s="13"/>
      <c r="K21" s="19"/>
    </row>
    <row r="22" spans="1:31" ht="15.75" x14ac:dyDescent="0.25">
      <c r="B22" s="43"/>
      <c r="F22" s="13"/>
      <c r="K22" s="19"/>
      <c r="L22" s="30" t="s">
        <v>62</v>
      </c>
      <c r="M22" s="48"/>
      <c r="N22" s="30" t="s">
        <v>63</v>
      </c>
      <c r="O22" s="30" t="s">
        <v>19</v>
      </c>
      <c r="P22" s="30" t="s">
        <v>26</v>
      </c>
      <c r="Q22" s="30" t="s">
        <v>27</v>
      </c>
      <c r="R22" s="30" t="s">
        <v>33</v>
      </c>
    </row>
    <row r="23" spans="1:31" ht="15.75" x14ac:dyDescent="0.25">
      <c r="F23" s="1"/>
      <c r="K23" s="19"/>
      <c r="L23" s="30" t="s">
        <v>64</v>
      </c>
      <c r="M23" s="48"/>
      <c r="N23" s="30" t="s">
        <v>65</v>
      </c>
      <c r="O23" s="30" t="s">
        <v>66</v>
      </c>
      <c r="P23" s="30" t="s">
        <v>25</v>
      </c>
      <c r="Q23" s="30" t="s">
        <v>28</v>
      </c>
      <c r="R23" s="30" t="s">
        <v>32</v>
      </c>
    </row>
    <row r="24" spans="1:31" ht="15.75" x14ac:dyDescent="0.25">
      <c r="A24" s="49">
        <v>45962</v>
      </c>
      <c r="B24" s="50"/>
      <c r="C24" s="50"/>
      <c r="D24" s="50"/>
      <c r="E24" s="50"/>
      <c r="F24" s="51"/>
      <c r="G24" s="50"/>
      <c r="L24" s="30" t="s">
        <v>67</v>
      </c>
      <c r="M24" s="48"/>
      <c r="N24" s="30" t="s">
        <v>68</v>
      </c>
      <c r="O24" s="30" t="s">
        <v>69</v>
      </c>
      <c r="P24" s="30" t="s">
        <v>18</v>
      </c>
      <c r="Q24" s="30" t="s">
        <v>34</v>
      </c>
      <c r="R24" s="30" t="s">
        <v>49</v>
      </c>
    </row>
    <row r="25" spans="1:31" ht="15.75" x14ac:dyDescent="0.25">
      <c r="A25" s="52" t="s">
        <v>8</v>
      </c>
      <c r="B25" s="53" t="s">
        <v>9</v>
      </c>
      <c r="C25" s="52" t="s">
        <v>10</v>
      </c>
      <c r="D25" s="52" t="s">
        <v>11</v>
      </c>
      <c r="E25" s="52" t="s">
        <v>12</v>
      </c>
      <c r="F25" s="54" t="s">
        <v>13</v>
      </c>
      <c r="G25" s="55" t="s">
        <v>14</v>
      </c>
      <c r="L25" s="30" t="s">
        <v>70</v>
      </c>
      <c r="M25" s="48"/>
      <c r="N25" s="30" t="s">
        <v>71</v>
      </c>
      <c r="O25" s="30" t="s">
        <v>34</v>
      </c>
      <c r="P25" s="30" t="s">
        <v>17</v>
      </c>
      <c r="R25" s="30"/>
    </row>
    <row r="26" spans="1:31" ht="15.75" x14ac:dyDescent="0.25">
      <c r="A26" s="43"/>
      <c r="B26" s="56"/>
      <c r="C26" s="57"/>
      <c r="D26" s="57"/>
      <c r="E26" s="14"/>
      <c r="F26" s="58">
        <v>1</v>
      </c>
      <c r="G26" s="16">
        <v>2</v>
      </c>
    </row>
    <row r="27" spans="1:31" ht="15.75" x14ac:dyDescent="0.25">
      <c r="A27" s="43"/>
      <c r="B27" s="43"/>
      <c r="C27" s="59"/>
      <c r="D27" s="59"/>
      <c r="E27" s="20"/>
      <c r="F27" s="60" t="s">
        <v>72</v>
      </c>
      <c r="G27" s="23" t="s">
        <v>50</v>
      </c>
      <c r="M27" s="61" t="s">
        <v>73</v>
      </c>
      <c r="N27" s="62"/>
      <c r="O27" s="62"/>
      <c r="P27" s="63" t="s">
        <v>74</v>
      </c>
      <c r="Q27" s="63"/>
      <c r="R27" s="63"/>
    </row>
    <row r="28" spans="1:31" ht="15.75" x14ac:dyDescent="0.25">
      <c r="A28" s="13"/>
      <c r="B28" s="64"/>
      <c r="C28" s="65"/>
      <c r="D28" s="65"/>
      <c r="E28" s="24"/>
      <c r="F28" s="66" t="s">
        <v>42</v>
      </c>
      <c r="G28" s="26" t="s">
        <v>44</v>
      </c>
      <c r="M28" s="67" t="s">
        <v>75</v>
      </c>
      <c r="N28" s="30" t="s">
        <v>76</v>
      </c>
      <c r="O28" s="30" t="s">
        <v>21</v>
      </c>
      <c r="Q28" s="30" t="s">
        <v>21</v>
      </c>
      <c r="R28" s="30" t="s">
        <v>22</v>
      </c>
      <c r="S28" s="30" t="s">
        <v>77</v>
      </c>
      <c r="T28" s="30" t="s">
        <v>39</v>
      </c>
      <c r="U28" s="30" t="s">
        <v>40</v>
      </c>
      <c r="V28" s="30" t="s">
        <v>41</v>
      </c>
      <c r="W28" s="31" t="s">
        <v>35</v>
      </c>
      <c r="X28" s="31" t="s">
        <v>29</v>
      </c>
      <c r="Y28" s="31" t="s">
        <v>36</v>
      </c>
      <c r="Z28" s="31" t="s">
        <v>37</v>
      </c>
      <c r="AA28" s="30" t="s">
        <v>31</v>
      </c>
      <c r="AB28" s="30" t="s">
        <v>23</v>
      </c>
      <c r="AC28" s="30" t="s">
        <v>59</v>
      </c>
      <c r="AD28" s="30" t="s">
        <v>44</v>
      </c>
      <c r="AE28" s="34" t="s">
        <v>47</v>
      </c>
    </row>
    <row r="29" spans="1:31" ht="15.75" x14ac:dyDescent="0.25">
      <c r="A29" s="14">
        <v>3</v>
      </c>
      <c r="B29" s="14">
        <v>4</v>
      </c>
      <c r="C29" s="14">
        <v>5</v>
      </c>
      <c r="D29" s="14">
        <v>6</v>
      </c>
      <c r="E29" s="68">
        <v>7</v>
      </c>
      <c r="F29" s="14">
        <v>8</v>
      </c>
      <c r="G29" s="16">
        <v>9</v>
      </c>
      <c r="M29" s="67" t="s">
        <v>78</v>
      </c>
      <c r="N29" s="30" t="s">
        <v>76</v>
      </c>
      <c r="O29" s="69" t="s">
        <v>17</v>
      </c>
      <c r="Q29" s="30" t="s">
        <v>17</v>
      </c>
      <c r="R29" s="30" t="s">
        <v>34</v>
      </c>
      <c r="S29" s="30" t="s">
        <v>49</v>
      </c>
      <c r="T29" s="31" t="s">
        <v>36</v>
      </c>
      <c r="U29" s="30" t="s">
        <v>18</v>
      </c>
      <c r="V29" s="30" t="s">
        <v>28</v>
      </c>
      <c r="W29" s="30" t="s">
        <v>32</v>
      </c>
      <c r="X29" s="31" t="s">
        <v>29</v>
      </c>
      <c r="Y29" s="30" t="s">
        <v>25</v>
      </c>
      <c r="Z29" s="30" t="s">
        <v>27</v>
      </c>
      <c r="AA29" s="30" t="s">
        <v>33</v>
      </c>
      <c r="AB29" s="31" t="s">
        <v>35</v>
      </c>
      <c r="AC29" s="30" t="s">
        <v>26</v>
      </c>
      <c r="AD29" s="31" t="s">
        <v>37</v>
      </c>
    </row>
    <row r="30" spans="1:31" ht="15.75" x14ac:dyDescent="0.25">
      <c r="A30" s="21" t="s">
        <v>18</v>
      </c>
      <c r="B30" s="21" t="s">
        <v>28</v>
      </c>
      <c r="C30" s="21" t="s">
        <v>29</v>
      </c>
      <c r="D30" s="21" t="s">
        <v>32</v>
      </c>
      <c r="E30" s="70" t="s">
        <v>79</v>
      </c>
      <c r="F30" s="20"/>
      <c r="G30" s="23" t="s">
        <v>25</v>
      </c>
      <c r="M30" s="67" t="s">
        <v>80</v>
      </c>
      <c r="N30" s="30" t="s">
        <v>81</v>
      </c>
      <c r="O30" s="30" t="s">
        <v>23</v>
      </c>
      <c r="Q30" s="30" t="s">
        <v>23</v>
      </c>
      <c r="R30" s="30" t="s">
        <v>59</v>
      </c>
      <c r="S30" s="30" t="s">
        <v>44</v>
      </c>
      <c r="T30" s="30" t="s">
        <v>21</v>
      </c>
      <c r="U30" s="30" t="s">
        <v>22</v>
      </c>
      <c r="V30" s="30" t="s">
        <v>77</v>
      </c>
      <c r="W30" s="30" t="s">
        <v>39</v>
      </c>
      <c r="X30" s="30" t="s">
        <v>40</v>
      </c>
      <c r="Y30" s="30" t="s">
        <v>41</v>
      </c>
      <c r="Z30" s="31" t="s">
        <v>35</v>
      </c>
      <c r="AA30" s="31" t="s">
        <v>29</v>
      </c>
      <c r="AB30" s="31" t="s">
        <v>36</v>
      </c>
      <c r="AC30" s="31" t="s">
        <v>37</v>
      </c>
      <c r="AD30" s="30" t="s">
        <v>45</v>
      </c>
    </row>
    <row r="31" spans="1:31" ht="15.75" x14ac:dyDescent="0.25">
      <c r="A31" s="24" t="s">
        <v>39</v>
      </c>
      <c r="B31" s="24" t="s">
        <v>57</v>
      </c>
      <c r="C31" s="24" t="s">
        <v>41</v>
      </c>
      <c r="D31" s="24" t="s">
        <v>56</v>
      </c>
      <c r="E31" s="71" t="s">
        <v>22</v>
      </c>
      <c r="F31" s="24" t="s">
        <v>42</v>
      </c>
      <c r="G31" s="26" t="s">
        <v>45</v>
      </c>
      <c r="M31" s="67" t="s">
        <v>82</v>
      </c>
      <c r="N31" s="30" t="s">
        <v>83</v>
      </c>
      <c r="O31" s="19" t="s">
        <v>35</v>
      </c>
      <c r="Q31" s="31" t="s">
        <v>35</v>
      </c>
      <c r="R31" s="31" t="s">
        <v>29</v>
      </c>
      <c r="S31" s="31" t="s">
        <v>36</v>
      </c>
      <c r="T31" s="31" t="s">
        <v>37</v>
      </c>
      <c r="U31" s="30" t="s">
        <v>79</v>
      </c>
      <c r="V31" s="30" t="s">
        <v>84</v>
      </c>
      <c r="W31" s="30" t="s">
        <v>85</v>
      </c>
      <c r="X31" s="30" t="s">
        <v>86</v>
      </c>
      <c r="Y31" s="30" t="s">
        <v>87</v>
      </c>
      <c r="Z31" s="30" t="s">
        <v>88</v>
      </c>
      <c r="AA31" s="30" t="s">
        <v>89</v>
      </c>
      <c r="AB31" s="30" t="s">
        <v>90</v>
      </c>
      <c r="AC31" s="30" t="s">
        <v>91</v>
      </c>
      <c r="AD31" s="30" t="s">
        <v>92</v>
      </c>
      <c r="AE31" s="34" t="s">
        <v>47</v>
      </c>
    </row>
    <row r="32" spans="1:31" ht="15.75" x14ac:dyDescent="0.25">
      <c r="A32" s="14">
        <v>10</v>
      </c>
      <c r="B32" s="14">
        <v>11</v>
      </c>
      <c r="C32" s="14">
        <v>12</v>
      </c>
      <c r="D32" s="14">
        <v>13</v>
      </c>
      <c r="E32" s="68">
        <v>14</v>
      </c>
      <c r="F32" s="14">
        <v>15</v>
      </c>
      <c r="G32" s="16">
        <v>16</v>
      </c>
      <c r="M32" s="67" t="s">
        <v>93</v>
      </c>
      <c r="N32" s="30" t="s">
        <v>76</v>
      </c>
      <c r="O32" s="30" t="s">
        <v>21</v>
      </c>
      <c r="Q32" s="30" t="s">
        <v>21</v>
      </c>
      <c r="R32" s="30" t="s">
        <v>22</v>
      </c>
      <c r="S32" s="30" t="s">
        <v>45</v>
      </c>
      <c r="T32" s="30" t="s">
        <v>23</v>
      </c>
      <c r="U32" s="30" t="s">
        <v>42</v>
      </c>
      <c r="V32" s="31" t="s">
        <v>35</v>
      </c>
      <c r="W32" s="31" t="s">
        <v>29</v>
      </c>
      <c r="X32" s="31" t="s">
        <v>36</v>
      </c>
      <c r="Y32" s="31" t="s">
        <v>37</v>
      </c>
      <c r="Z32" s="30" t="s">
        <v>38</v>
      </c>
      <c r="AA32" s="30" t="s">
        <v>39</v>
      </c>
      <c r="AB32" s="30" t="s">
        <v>40</v>
      </c>
      <c r="AC32" s="30" t="s">
        <v>41</v>
      </c>
      <c r="AD32" s="30" t="s">
        <v>44</v>
      </c>
    </row>
    <row r="33" spans="1:34" ht="15.75" x14ac:dyDescent="0.25">
      <c r="A33" s="21" t="s">
        <v>25</v>
      </c>
      <c r="B33" s="21" t="s">
        <v>27</v>
      </c>
      <c r="C33" s="21" t="s">
        <v>33</v>
      </c>
      <c r="D33" s="21" t="s">
        <v>19</v>
      </c>
      <c r="E33" s="70" t="s">
        <v>84</v>
      </c>
      <c r="F33" s="20"/>
      <c r="G33" s="23" t="s">
        <v>26</v>
      </c>
      <c r="M33" s="67" t="s">
        <v>94</v>
      </c>
      <c r="N33" s="30" t="s">
        <v>76</v>
      </c>
      <c r="O33" s="19" t="s">
        <v>27</v>
      </c>
      <c r="Q33" s="30" t="s">
        <v>22</v>
      </c>
      <c r="R33" s="30" t="s">
        <v>59</v>
      </c>
      <c r="S33" s="30" t="s">
        <v>77</v>
      </c>
      <c r="T33" s="30" t="s">
        <v>41</v>
      </c>
      <c r="U33" s="30" t="s">
        <v>44</v>
      </c>
      <c r="V33" s="30" t="s">
        <v>95</v>
      </c>
      <c r="W33" s="30" t="s">
        <v>40</v>
      </c>
      <c r="X33" s="30" t="s">
        <v>21</v>
      </c>
      <c r="Y33" s="30" t="s">
        <v>23</v>
      </c>
      <c r="Z33" s="30" t="s">
        <v>39</v>
      </c>
    </row>
    <row r="34" spans="1:34" ht="15.75" x14ac:dyDescent="0.25">
      <c r="A34" s="24" t="s">
        <v>29</v>
      </c>
      <c r="B34" s="24" t="s">
        <v>50</v>
      </c>
      <c r="C34" s="24" t="s">
        <v>57</v>
      </c>
      <c r="D34" s="24" t="s">
        <v>45</v>
      </c>
      <c r="E34" s="71" t="s">
        <v>38</v>
      </c>
      <c r="F34" s="24" t="s">
        <v>56</v>
      </c>
      <c r="G34" s="26" t="s">
        <v>40</v>
      </c>
      <c r="M34" s="67" t="s">
        <v>96</v>
      </c>
      <c r="N34" s="30" t="s">
        <v>97</v>
      </c>
      <c r="O34" s="19" t="s">
        <v>20</v>
      </c>
      <c r="Q34" s="39" t="s">
        <v>28</v>
      </c>
      <c r="R34" s="39" t="s">
        <v>27</v>
      </c>
      <c r="S34" s="31" t="s">
        <v>35</v>
      </c>
      <c r="T34" s="31" t="s">
        <v>29</v>
      </c>
      <c r="U34" s="31" t="s">
        <v>36</v>
      </c>
      <c r="V34" s="31" t="s">
        <v>37</v>
      </c>
      <c r="W34" s="30" t="s">
        <v>79</v>
      </c>
      <c r="X34" s="30" t="s">
        <v>84</v>
      </c>
      <c r="Y34" s="30" t="s">
        <v>85</v>
      </c>
      <c r="Z34" s="30" t="s">
        <v>86</v>
      </c>
      <c r="AA34" s="30" t="s">
        <v>31</v>
      </c>
      <c r="AB34" s="30" t="s">
        <v>98</v>
      </c>
      <c r="AC34" s="30" t="s">
        <v>99</v>
      </c>
      <c r="AD34" s="31" t="s">
        <v>35</v>
      </c>
      <c r="AE34" s="31" t="s">
        <v>29</v>
      </c>
      <c r="AF34" s="31" t="s">
        <v>36</v>
      </c>
      <c r="AG34" s="31" t="s">
        <v>37</v>
      </c>
      <c r="AH34" s="30" t="s">
        <v>87</v>
      </c>
    </row>
    <row r="35" spans="1:34" ht="15.75" x14ac:dyDescent="0.25">
      <c r="A35" s="14">
        <v>17</v>
      </c>
      <c r="B35" s="14">
        <v>18</v>
      </c>
      <c r="C35" s="14">
        <v>19</v>
      </c>
      <c r="D35" s="14">
        <v>20</v>
      </c>
      <c r="E35" s="68">
        <v>21</v>
      </c>
      <c r="F35" s="14">
        <v>22</v>
      </c>
      <c r="G35" s="16">
        <v>23</v>
      </c>
      <c r="M35" s="67"/>
      <c r="N35" s="30"/>
    </row>
    <row r="36" spans="1:34" ht="15.75" x14ac:dyDescent="0.25">
      <c r="A36" s="21" t="s">
        <v>26</v>
      </c>
      <c r="B36" s="21" t="s">
        <v>57</v>
      </c>
      <c r="C36" s="21" t="s">
        <v>17</v>
      </c>
      <c r="D36" s="21" t="s">
        <v>34</v>
      </c>
      <c r="E36" s="70" t="s">
        <v>100</v>
      </c>
      <c r="F36" s="20"/>
      <c r="G36" s="23" t="s">
        <v>25</v>
      </c>
      <c r="M36" s="67"/>
    </row>
    <row r="37" spans="1:34" ht="15.75" x14ac:dyDescent="0.25">
      <c r="A37" s="24" t="s">
        <v>23</v>
      </c>
      <c r="B37" s="24" t="s">
        <v>59</v>
      </c>
      <c r="C37" s="24" t="s">
        <v>44</v>
      </c>
      <c r="D37" s="72" t="s">
        <v>38</v>
      </c>
      <c r="E37" s="71" t="s">
        <v>39</v>
      </c>
      <c r="F37" s="24" t="s">
        <v>29</v>
      </c>
      <c r="G37" s="26" t="s">
        <v>21</v>
      </c>
    </row>
    <row r="38" spans="1:34" ht="15.75" x14ac:dyDescent="0.25">
      <c r="A38" s="35">
        <v>24</v>
      </c>
      <c r="B38" s="35">
        <v>25</v>
      </c>
      <c r="C38" s="35">
        <v>26</v>
      </c>
      <c r="D38" s="14">
        <v>27</v>
      </c>
      <c r="E38" s="15">
        <v>28</v>
      </c>
      <c r="F38" s="14">
        <v>29</v>
      </c>
      <c r="G38" s="16">
        <v>30</v>
      </c>
      <c r="M38" s="73" t="s">
        <v>101</v>
      </c>
    </row>
    <row r="39" spans="1:34" ht="15.75" x14ac:dyDescent="0.25">
      <c r="A39" s="21" t="s">
        <v>49</v>
      </c>
      <c r="B39" s="21" t="s">
        <v>50</v>
      </c>
      <c r="C39" s="21" t="s">
        <v>18</v>
      </c>
      <c r="D39" s="21" t="s">
        <v>20</v>
      </c>
      <c r="E39" s="22" t="s">
        <v>102</v>
      </c>
      <c r="F39" s="20"/>
      <c r="G39" s="23" t="s">
        <v>18</v>
      </c>
      <c r="M39" s="38" t="s">
        <v>103</v>
      </c>
    </row>
    <row r="40" spans="1:34" ht="15.75" x14ac:dyDescent="0.25">
      <c r="A40" s="24" t="s">
        <v>21</v>
      </c>
      <c r="B40" s="24" t="s">
        <v>22</v>
      </c>
      <c r="C40" s="24" t="s">
        <v>38</v>
      </c>
      <c r="D40" s="24" t="s">
        <v>39</v>
      </c>
      <c r="E40" s="25" t="s">
        <v>40</v>
      </c>
      <c r="F40" s="24" t="s">
        <v>50</v>
      </c>
      <c r="G40" s="26" t="s">
        <v>23</v>
      </c>
      <c r="M40" s="30" t="s">
        <v>104</v>
      </c>
      <c r="N40" s="30" t="s">
        <v>31</v>
      </c>
      <c r="O40" s="30" t="s">
        <v>32</v>
      </c>
      <c r="P40" s="30" t="s">
        <v>33</v>
      </c>
      <c r="Q40" s="30" t="s">
        <v>34</v>
      </c>
      <c r="R40" s="30" t="s">
        <v>28</v>
      </c>
      <c r="S40" s="30" t="s">
        <v>27</v>
      </c>
      <c r="T40" s="30" t="s">
        <v>26</v>
      </c>
      <c r="U40" s="30" t="s">
        <v>25</v>
      </c>
      <c r="V40" s="30" t="s">
        <v>18</v>
      </c>
      <c r="W40" s="30" t="s">
        <v>17</v>
      </c>
      <c r="X40" s="31" t="s">
        <v>35</v>
      </c>
      <c r="Y40" s="31" t="s">
        <v>29</v>
      </c>
      <c r="Z40" s="31" t="s">
        <v>36</v>
      </c>
      <c r="AA40" s="31" t="s">
        <v>37</v>
      </c>
      <c r="AB40" s="34" t="s">
        <v>47</v>
      </c>
    </row>
    <row r="41" spans="1:34" ht="15.75" x14ac:dyDescent="0.25">
      <c r="F41" s="1"/>
      <c r="M41" s="30" t="s">
        <v>105</v>
      </c>
      <c r="N41" s="31" t="s">
        <v>37</v>
      </c>
      <c r="O41" s="31" t="s">
        <v>36</v>
      </c>
      <c r="P41" s="31" t="s">
        <v>29</v>
      </c>
      <c r="Q41" s="31" t="s">
        <v>35</v>
      </c>
      <c r="R41" s="30" t="s">
        <v>17</v>
      </c>
      <c r="S41" s="30" t="s">
        <v>18</v>
      </c>
      <c r="T41" s="30" t="s">
        <v>25</v>
      </c>
      <c r="U41" s="30" t="s">
        <v>26</v>
      </c>
      <c r="V41" s="30" t="s">
        <v>27</v>
      </c>
      <c r="W41" s="30" t="s">
        <v>28</v>
      </c>
      <c r="X41" s="30" t="s">
        <v>34</v>
      </c>
      <c r="Y41" s="30" t="s">
        <v>33</v>
      </c>
      <c r="Z41" s="30" t="s">
        <v>32</v>
      </c>
      <c r="AA41" s="30" t="s">
        <v>49</v>
      </c>
    </row>
    <row r="42" spans="1:34" ht="15.75" x14ac:dyDescent="0.25">
      <c r="F42" s="1"/>
    </row>
    <row r="43" spans="1:34" ht="15.75" x14ac:dyDescent="0.25">
      <c r="A43" s="49">
        <v>45992</v>
      </c>
      <c r="B43" s="50"/>
      <c r="C43" s="50"/>
      <c r="D43" s="50"/>
      <c r="E43" s="50"/>
      <c r="F43" s="51"/>
      <c r="G43" s="50"/>
      <c r="M43" s="67"/>
      <c r="N43" s="30"/>
      <c r="O43" s="19"/>
      <c r="P43" s="19"/>
      <c r="Q43" s="19"/>
      <c r="R43" s="19"/>
      <c r="S43" s="19"/>
    </row>
    <row r="44" spans="1:34" ht="15.75" x14ac:dyDescent="0.25">
      <c r="A44" s="52" t="s">
        <v>8</v>
      </c>
      <c r="B44" s="52" t="s">
        <v>9</v>
      </c>
      <c r="C44" s="52" t="s">
        <v>10</v>
      </c>
      <c r="D44" s="52" t="s">
        <v>11</v>
      </c>
      <c r="E44" s="52" t="s">
        <v>12</v>
      </c>
      <c r="F44" s="54" t="s">
        <v>13</v>
      </c>
      <c r="G44" s="55" t="s">
        <v>14</v>
      </c>
      <c r="M44" s="67"/>
      <c r="N44" s="30"/>
      <c r="O44" s="30"/>
      <c r="P44" s="30"/>
      <c r="Q44" s="30"/>
      <c r="R44" s="30"/>
      <c r="S44" s="30"/>
    </row>
    <row r="45" spans="1:34" ht="15.75" x14ac:dyDescent="0.25">
      <c r="A45" s="14">
        <v>1</v>
      </c>
      <c r="B45" s="14">
        <v>2</v>
      </c>
      <c r="C45" s="14">
        <v>3</v>
      </c>
      <c r="D45" s="14">
        <v>4</v>
      </c>
      <c r="E45" s="42">
        <v>5</v>
      </c>
      <c r="F45" s="58">
        <v>6</v>
      </c>
      <c r="G45" s="58">
        <v>7</v>
      </c>
      <c r="M45" s="67"/>
      <c r="N45" s="30"/>
      <c r="O45" s="19"/>
      <c r="P45" s="19"/>
      <c r="Q45" s="19"/>
      <c r="R45" s="19"/>
      <c r="S45" s="19"/>
      <c r="AA45" s="19"/>
    </row>
    <row r="46" spans="1:34" ht="15.75" x14ac:dyDescent="0.25">
      <c r="A46" s="21" t="s">
        <v>32</v>
      </c>
      <c r="B46" s="21" t="s">
        <v>29</v>
      </c>
      <c r="C46" s="21" t="s">
        <v>106</v>
      </c>
      <c r="D46" s="21" t="s">
        <v>27</v>
      </c>
      <c r="E46" s="45" t="s">
        <v>25</v>
      </c>
      <c r="F46" s="60" t="s">
        <v>72</v>
      </c>
      <c r="G46" s="60" t="s">
        <v>72</v>
      </c>
      <c r="M46" s="67"/>
      <c r="N46" s="30"/>
    </row>
    <row r="47" spans="1:34" ht="15.75" x14ac:dyDescent="0.25">
      <c r="A47" s="24" t="s">
        <v>40</v>
      </c>
      <c r="B47" s="24" t="s">
        <v>41</v>
      </c>
      <c r="C47" s="24" t="s">
        <v>56</v>
      </c>
      <c r="D47" s="24" t="s">
        <v>29</v>
      </c>
      <c r="E47" s="47" t="s">
        <v>45</v>
      </c>
      <c r="F47" s="66" t="s">
        <v>45</v>
      </c>
      <c r="G47" s="66" t="s">
        <v>107</v>
      </c>
      <c r="U47" s="6"/>
      <c r="V47" s="6"/>
    </row>
    <row r="48" spans="1:34" ht="15.75" x14ac:dyDescent="0.25">
      <c r="A48" s="60">
        <v>8</v>
      </c>
      <c r="B48" s="14">
        <v>9</v>
      </c>
      <c r="C48" s="56">
        <v>10</v>
      </c>
      <c r="D48" s="56">
        <v>11</v>
      </c>
      <c r="E48" s="15">
        <v>12</v>
      </c>
      <c r="F48" s="14">
        <v>13</v>
      </c>
      <c r="G48" s="16">
        <v>14</v>
      </c>
      <c r="M48" s="74"/>
      <c r="U48" s="30"/>
      <c r="V48" s="30"/>
    </row>
    <row r="49" spans="1:35" ht="15.75" x14ac:dyDescent="0.25">
      <c r="A49" s="60" t="s">
        <v>19</v>
      </c>
      <c r="B49" s="21" t="s">
        <v>33</v>
      </c>
      <c r="C49" s="21" t="s">
        <v>26</v>
      </c>
      <c r="D49" s="21" t="s">
        <v>19</v>
      </c>
      <c r="E49" s="22" t="s">
        <v>34</v>
      </c>
      <c r="F49" s="20"/>
      <c r="G49" s="23" t="s">
        <v>17</v>
      </c>
      <c r="M49" s="75"/>
      <c r="U49" s="19"/>
      <c r="V49" s="19"/>
      <c r="Z49" s="30"/>
    </row>
    <row r="50" spans="1:35" ht="15.75" x14ac:dyDescent="0.25">
      <c r="A50" s="66" t="s">
        <v>107</v>
      </c>
      <c r="B50" s="24" t="s">
        <v>50</v>
      </c>
      <c r="C50" s="24" t="s">
        <v>57</v>
      </c>
      <c r="D50" s="24" t="s">
        <v>45</v>
      </c>
      <c r="E50" s="25" t="s">
        <v>41</v>
      </c>
      <c r="F50" s="24" t="s">
        <v>57</v>
      </c>
      <c r="G50" s="26" t="s">
        <v>39</v>
      </c>
      <c r="U50" s="30"/>
      <c r="V50" s="19"/>
    </row>
    <row r="51" spans="1:35" ht="15.75" x14ac:dyDescent="0.25">
      <c r="A51" s="14">
        <v>15</v>
      </c>
      <c r="B51" s="14">
        <v>16</v>
      </c>
      <c r="C51" s="14">
        <v>17</v>
      </c>
      <c r="D51" s="14">
        <v>18</v>
      </c>
      <c r="E51" s="15">
        <v>19</v>
      </c>
      <c r="F51" s="14">
        <v>20</v>
      </c>
      <c r="G51" s="16">
        <v>21</v>
      </c>
      <c r="M51" s="67"/>
      <c r="N51" s="30"/>
    </row>
    <row r="52" spans="1:35" ht="15.75" x14ac:dyDescent="0.25">
      <c r="A52" s="21" t="s">
        <v>57</v>
      </c>
      <c r="B52" s="21" t="s">
        <v>17</v>
      </c>
      <c r="C52" s="21" t="s">
        <v>49</v>
      </c>
      <c r="D52" s="21" t="s">
        <v>34</v>
      </c>
      <c r="E52" s="22" t="s">
        <v>20</v>
      </c>
      <c r="F52" s="20"/>
      <c r="G52" s="23" t="s">
        <v>49</v>
      </c>
      <c r="M52" s="67"/>
      <c r="N52" s="30"/>
    </row>
    <row r="53" spans="1:35" ht="15.75" x14ac:dyDescent="0.25">
      <c r="A53" s="24" t="s">
        <v>23</v>
      </c>
      <c r="B53" s="24" t="s">
        <v>59</v>
      </c>
      <c r="C53" s="24" t="s">
        <v>44</v>
      </c>
      <c r="D53" s="72" t="s">
        <v>39</v>
      </c>
      <c r="E53" s="25" t="s">
        <v>56</v>
      </c>
      <c r="F53" s="24" t="s">
        <v>38</v>
      </c>
      <c r="G53" s="26" t="s">
        <v>22</v>
      </c>
      <c r="M53" s="61" t="s">
        <v>73</v>
      </c>
      <c r="N53" s="62"/>
      <c r="O53" s="62"/>
      <c r="P53" s="63" t="s">
        <v>108</v>
      </c>
      <c r="Q53" s="63"/>
      <c r="R53" s="63"/>
    </row>
    <row r="54" spans="1:35" ht="15.75" customHeight="1" x14ac:dyDescent="0.25">
      <c r="A54" s="14">
        <v>22</v>
      </c>
      <c r="B54" s="14">
        <v>23</v>
      </c>
      <c r="C54" s="42">
        <v>24</v>
      </c>
      <c r="D54" s="58">
        <v>25</v>
      </c>
      <c r="E54" s="58">
        <v>26</v>
      </c>
      <c r="F54" s="76">
        <v>27</v>
      </c>
      <c r="G54" s="58">
        <v>28</v>
      </c>
      <c r="M54" s="67" t="s">
        <v>109</v>
      </c>
      <c r="O54" t="s">
        <v>37</v>
      </c>
      <c r="Q54" t="s">
        <v>37</v>
      </c>
      <c r="R54" s="31" t="s">
        <v>52</v>
      </c>
      <c r="S54" s="31" t="s">
        <v>53</v>
      </c>
      <c r="T54" s="31" t="s">
        <v>54</v>
      </c>
      <c r="U54" s="31" t="s">
        <v>55</v>
      </c>
      <c r="V54" s="30" t="s">
        <v>44</v>
      </c>
      <c r="W54" s="34" t="s">
        <v>47</v>
      </c>
      <c r="X54" s="30" t="s">
        <v>21</v>
      </c>
      <c r="Y54" s="30" t="s">
        <v>22</v>
      </c>
      <c r="Z54" s="30" t="s">
        <v>77</v>
      </c>
      <c r="AA54" s="30" t="s">
        <v>39</v>
      </c>
      <c r="AB54" s="30" t="s">
        <v>40</v>
      </c>
      <c r="AC54" s="30" t="s">
        <v>41</v>
      </c>
      <c r="AD54" t="s">
        <v>35</v>
      </c>
      <c r="AE54" t="s">
        <v>29</v>
      </c>
      <c r="AF54" t="s">
        <v>36</v>
      </c>
    </row>
    <row r="55" spans="1:35" ht="15.75" x14ac:dyDescent="0.25">
      <c r="A55" s="21" t="s">
        <v>50</v>
      </c>
      <c r="B55" s="21" t="s">
        <v>18</v>
      </c>
      <c r="C55" s="77" t="s">
        <v>19</v>
      </c>
      <c r="D55" s="78" t="s">
        <v>34</v>
      </c>
      <c r="E55" s="78" t="s">
        <v>27</v>
      </c>
      <c r="F55" s="79"/>
      <c r="G55" s="60" t="s">
        <v>25</v>
      </c>
      <c r="M55" s="67" t="s">
        <v>110</v>
      </c>
      <c r="N55" s="30"/>
      <c r="O55" t="s">
        <v>53</v>
      </c>
      <c r="Q55" s="31" t="s">
        <v>111</v>
      </c>
      <c r="R55" s="31" t="s">
        <v>112</v>
      </c>
      <c r="S55" t="s">
        <v>79</v>
      </c>
      <c r="T55" t="s">
        <v>89</v>
      </c>
      <c r="U55" s="31" t="s">
        <v>113</v>
      </c>
      <c r="V55" s="31" t="s">
        <v>114</v>
      </c>
      <c r="W55" t="s">
        <v>86</v>
      </c>
      <c r="X55" s="31" t="s">
        <v>115</v>
      </c>
      <c r="Y55" s="31" t="s">
        <v>116</v>
      </c>
      <c r="Z55" t="s">
        <v>85</v>
      </c>
      <c r="AA55" t="s">
        <v>87</v>
      </c>
      <c r="AB55" s="31" t="s">
        <v>117</v>
      </c>
      <c r="AC55" s="31" t="s">
        <v>118</v>
      </c>
      <c r="AD55" t="s">
        <v>84</v>
      </c>
      <c r="AE55" t="s">
        <v>88</v>
      </c>
    </row>
    <row r="56" spans="1:35" ht="15.75" x14ac:dyDescent="0.25">
      <c r="A56" s="24" t="s">
        <v>21</v>
      </c>
      <c r="B56" s="24" t="s">
        <v>22</v>
      </c>
      <c r="C56" s="47" t="s">
        <v>44</v>
      </c>
      <c r="D56" s="66" t="s">
        <v>22</v>
      </c>
      <c r="E56" s="66" t="s">
        <v>39</v>
      </c>
      <c r="F56" s="80"/>
      <c r="G56" s="66" t="s">
        <v>44</v>
      </c>
      <c r="M56" s="67" t="s">
        <v>119</v>
      </c>
      <c r="O56" s="30" t="s">
        <v>55</v>
      </c>
      <c r="P56" s="30"/>
      <c r="Q56" s="31" t="s">
        <v>55</v>
      </c>
      <c r="R56" s="30" t="s">
        <v>44</v>
      </c>
      <c r="S56" s="30" t="s">
        <v>21</v>
      </c>
      <c r="T56" s="30" t="s">
        <v>22</v>
      </c>
      <c r="U56" s="30" t="s">
        <v>77</v>
      </c>
      <c r="V56" s="30" t="s">
        <v>39</v>
      </c>
      <c r="W56" s="30" t="s">
        <v>40</v>
      </c>
      <c r="X56" s="30" t="s">
        <v>41</v>
      </c>
      <c r="Y56" s="31" t="s">
        <v>35</v>
      </c>
      <c r="Z56" s="31" t="s">
        <v>29</v>
      </c>
      <c r="AA56" s="31" t="s">
        <v>36</v>
      </c>
      <c r="AB56" s="31" t="s">
        <v>37</v>
      </c>
      <c r="AC56" s="31" t="s">
        <v>52</v>
      </c>
      <c r="AD56" s="31" t="s">
        <v>53</v>
      </c>
      <c r="AE56" s="31" t="s">
        <v>54</v>
      </c>
    </row>
    <row r="57" spans="1:35" ht="15.75" x14ac:dyDescent="0.25">
      <c r="A57" s="14">
        <v>29</v>
      </c>
      <c r="B57" s="14">
        <v>30</v>
      </c>
      <c r="C57" s="42">
        <v>31</v>
      </c>
      <c r="D57" s="14"/>
      <c r="E57" s="14"/>
      <c r="F57" s="14"/>
      <c r="G57" s="14"/>
      <c r="M57" s="67" t="s">
        <v>120</v>
      </c>
      <c r="N57" s="30"/>
      <c r="O57" s="30" t="s">
        <v>86</v>
      </c>
      <c r="P57" s="30"/>
      <c r="Q57" s="30" t="s">
        <v>86</v>
      </c>
      <c r="R57" s="30" t="s">
        <v>87</v>
      </c>
      <c r="S57" s="30" t="s">
        <v>88</v>
      </c>
      <c r="T57" s="30" t="s">
        <v>89</v>
      </c>
      <c r="U57" s="34" t="s">
        <v>47</v>
      </c>
      <c r="V57" s="31" t="s">
        <v>52</v>
      </c>
      <c r="W57" s="31" t="s">
        <v>53</v>
      </c>
      <c r="X57" s="31" t="s">
        <v>54</v>
      </c>
      <c r="Y57" s="31" t="s">
        <v>55</v>
      </c>
      <c r="Z57" s="31" t="s">
        <v>35</v>
      </c>
      <c r="AA57" s="31" t="s">
        <v>29</v>
      </c>
      <c r="AB57" s="31" t="s">
        <v>36</v>
      </c>
      <c r="AC57" s="31" t="s">
        <v>37</v>
      </c>
      <c r="AD57" s="30" t="s">
        <v>79</v>
      </c>
      <c r="AE57" s="30" t="s">
        <v>84</v>
      </c>
      <c r="AF57" s="30" t="s">
        <v>85</v>
      </c>
    </row>
    <row r="58" spans="1:35" ht="15.75" x14ac:dyDescent="0.25">
      <c r="A58" s="81" t="s">
        <v>20</v>
      </c>
      <c r="B58" s="21" t="s">
        <v>32</v>
      </c>
      <c r="C58" s="77" t="s">
        <v>121</v>
      </c>
      <c r="D58" s="20"/>
      <c r="E58" s="20"/>
      <c r="F58" s="20"/>
      <c r="G58" s="20"/>
      <c r="M58" s="67" t="s">
        <v>122</v>
      </c>
      <c r="N58" s="30"/>
      <c r="O58" s="30" t="s">
        <v>54</v>
      </c>
      <c r="P58" s="30"/>
      <c r="Q58" s="31" t="s">
        <v>54</v>
      </c>
      <c r="R58" s="31" t="s">
        <v>55</v>
      </c>
      <c r="S58" s="31" t="s">
        <v>35</v>
      </c>
      <c r="T58" s="31" t="s">
        <v>29</v>
      </c>
      <c r="U58" s="31" t="s">
        <v>36</v>
      </c>
      <c r="V58" s="31" t="s">
        <v>37</v>
      </c>
      <c r="W58" s="30" t="s">
        <v>38</v>
      </c>
      <c r="X58" s="30" t="s">
        <v>39</v>
      </c>
      <c r="Y58" s="30" t="s">
        <v>40</v>
      </c>
      <c r="Z58" s="30" t="s">
        <v>41</v>
      </c>
      <c r="AA58" s="30" t="s">
        <v>44</v>
      </c>
      <c r="AB58" s="30" t="s">
        <v>21</v>
      </c>
      <c r="AC58" s="30" t="s">
        <v>22</v>
      </c>
      <c r="AD58" s="31" t="s">
        <v>52</v>
      </c>
      <c r="AE58" s="31" t="s">
        <v>53</v>
      </c>
      <c r="AF58" s="30"/>
    </row>
    <row r="59" spans="1:35" ht="15.75" x14ac:dyDescent="0.25">
      <c r="A59" s="65" t="s">
        <v>38</v>
      </c>
      <c r="B59" s="24" t="s">
        <v>39</v>
      </c>
      <c r="C59" s="47" t="s">
        <v>23</v>
      </c>
      <c r="D59" s="24"/>
      <c r="E59" s="24"/>
      <c r="F59" s="24"/>
      <c r="G59" s="24"/>
      <c r="M59" s="67" t="s">
        <v>123</v>
      </c>
      <c r="N59" s="30"/>
      <c r="O59" s="30" t="s">
        <v>36</v>
      </c>
      <c r="P59" s="30"/>
      <c r="Q59" s="30" t="s">
        <v>124</v>
      </c>
      <c r="R59" s="30" t="s">
        <v>39</v>
      </c>
      <c r="S59" s="30" t="s">
        <v>21</v>
      </c>
      <c r="T59" s="30" t="s">
        <v>125</v>
      </c>
      <c r="U59" s="30" t="s">
        <v>38</v>
      </c>
      <c r="V59" s="30" t="s">
        <v>22</v>
      </c>
      <c r="W59" s="30" t="s">
        <v>56</v>
      </c>
      <c r="X59" s="30" t="s">
        <v>41</v>
      </c>
      <c r="Y59" s="30" t="s">
        <v>57</v>
      </c>
      <c r="Z59" s="30" t="s">
        <v>40</v>
      </c>
      <c r="AA59" s="30" t="s">
        <v>126</v>
      </c>
      <c r="AB59" s="30"/>
    </row>
    <row r="60" spans="1:35" ht="15.75" x14ac:dyDescent="0.25">
      <c r="F60" s="1"/>
      <c r="M60" s="67" t="s">
        <v>96</v>
      </c>
      <c r="N60" s="30"/>
      <c r="O60" s="30" t="s">
        <v>52</v>
      </c>
      <c r="P60" s="30"/>
      <c r="Q60" s="31" t="s">
        <v>52</v>
      </c>
      <c r="R60" s="31" t="s">
        <v>53</v>
      </c>
      <c r="S60" s="31" t="s">
        <v>54</v>
      </c>
      <c r="T60" s="31" t="s">
        <v>55</v>
      </c>
      <c r="U60" s="30" t="s">
        <v>35</v>
      </c>
      <c r="V60" s="30" t="s">
        <v>29</v>
      </c>
      <c r="W60" s="30" t="s">
        <v>36</v>
      </c>
      <c r="X60" s="30" t="s">
        <v>37</v>
      </c>
      <c r="Y60" s="30" t="s">
        <v>87</v>
      </c>
      <c r="Z60" s="30" t="s">
        <v>20</v>
      </c>
      <c r="AA60" s="30" t="s">
        <v>27</v>
      </c>
      <c r="AB60" s="31" t="s">
        <v>52</v>
      </c>
      <c r="AC60" s="31" t="s">
        <v>53</v>
      </c>
      <c r="AD60" s="31" t="s">
        <v>54</v>
      </c>
      <c r="AE60" s="31" t="s">
        <v>55</v>
      </c>
      <c r="AF60" t="s">
        <v>26</v>
      </c>
      <c r="AG60" t="s">
        <v>25</v>
      </c>
      <c r="AH60" t="s">
        <v>18</v>
      </c>
      <c r="AI60" t="s">
        <v>17</v>
      </c>
    </row>
    <row r="61" spans="1:35" ht="15.75" x14ac:dyDescent="0.25">
      <c r="F61" s="1"/>
      <c r="M61" s="82"/>
    </row>
    <row r="62" spans="1:35" x14ac:dyDescent="0.2">
      <c r="M62" s="34" t="s">
        <v>127</v>
      </c>
    </row>
    <row r="63" spans="1:35" ht="15.75" x14ac:dyDescent="0.25">
      <c r="A63" s="13"/>
      <c r="M63" s="67" t="s">
        <v>109</v>
      </c>
      <c r="O63" t="s">
        <v>88</v>
      </c>
    </row>
    <row r="64" spans="1:35" ht="15.75" x14ac:dyDescent="0.25">
      <c r="A64" s="83">
        <v>46023</v>
      </c>
      <c r="B64" s="50"/>
      <c r="C64" s="50"/>
      <c r="D64" s="50"/>
      <c r="E64" s="50"/>
      <c r="F64" s="51"/>
      <c r="G64" s="50"/>
      <c r="M64" s="67" t="s">
        <v>120</v>
      </c>
      <c r="O64" t="s">
        <v>112</v>
      </c>
    </row>
    <row r="65" spans="1:13" ht="15.75" x14ac:dyDescent="0.25">
      <c r="A65" s="52" t="s">
        <v>8</v>
      </c>
      <c r="B65" s="52" t="s">
        <v>9</v>
      </c>
      <c r="C65" s="52" t="s">
        <v>10</v>
      </c>
      <c r="D65" s="52" t="s">
        <v>11</v>
      </c>
      <c r="E65" s="52" t="s">
        <v>12</v>
      </c>
      <c r="F65" s="54" t="s">
        <v>13</v>
      </c>
      <c r="G65" s="55" t="s">
        <v>14</v>
      </c>
      <c r="M65" s="82"/>
    </row>
    <row r="66" spans="1:13" ht="15.75" x14ac:dyDescent="0.25">
      <c r="A66" s="14"/>
      <c r="B66" s="14"/>
      <c r="C66" s="14"/>
      <c r="D66" s="58">
        <v>1</v>
      </c>
      <c r="E66" s="42">
        <v>2</v>
      </c>
      <c r="F66" s="76">
        <v>3</v>
      </c>
      <c r="G66" s="58">
        <v>4</v>
      </c>
    </row>
    <row r="67" spans="1:13" ht="15.75" x14ac:dyDescent="0.25">
      <c r="A67" s="20"/>
      <c r="B67" s="20"/>
      <c r="C67" s="20"/>
      <c r="D67" s="60" t="s">
        <v>121</v>
      </c>
      <c r="E67" s="45" t="s">
        <v>19</v>
      </c>
      <c r="F67" s="79" t="s">
        <v>56</v>
      </c>
      <c r="G67" s="60" t="s">
        <v>26</v>
      </c>
    </row>
    <row r="68" spans="1:13" ht="15.75" x14ac:dyDescent="0.25">
      <c r="A68" s="24"/>
      <c r="B68" s="24"/>
      <c r="C68" s="24"/>
      <c r="D68" s="66" t="s">
        <v>23</v>
      </c>
      <c r="E68" s="47" t="s">
        <v>107</v>
      </c>
      <c r="F68" s="80"/>
      <c r="G68" s="66" t="s">
        <v>44</v>
      </c>
    </row>
    <row r="69" spans="1:13" ht="15.75" x14ac:dyDescent="0.25">
      <c r="A69" s="42">
        <v>5</v>
      </c>
      <c r="B69" s="58">
        <v>6</v>
      </c>
      <c r="C69" s="33">
        <v>7</v>
      </c>
      <c r="D69" s="14">
        <v>8</v>
      </c>
      <c r="E69" s="15">
        <v>9</v>
      </c>
      <c r="F69" s="14">
        <v>10</v>
      </c>
      <c r="G69" s="16">
        <v>11</v>
      </c>
    </row>
    <row r="70" spans="1:13" ht="15.75" x14ac:dyDescent="0.25">
      <c r="A70" s="45"/>
      <c r="B70" s="60"/>
      <c r="C70" s="21" t="s">
        <v>29</v>
      </c>
      <c r="D70" s="21" t="s">
        <v>19</v>
      </c>
      <c r="E70" s="70" t="s">
        <v>27</v>
      </c>
      <c r="F70" s="20"/>
      <c r="G70" s="23" t="s">
        <v>32</v>
      </c>
    </row>
    <row r="71" spans="1:13" ht="15.75" x14ac:dyDescent="0.25">
      <c r="A71" s="47" t="s">
        <v>38</v>
      </c>
      <c r="B71" s="66" t="s">
        <v>38</v>
      </c>
      <c r="C71" s="32" t="s">
        <v>40</v>
      </c>
      <c r="D71" s="24" t="s">
        <v>41</v>
      </c>
      <c r="E71" s="71" t="s">
        <v>29</v>
      </c>
      <c r="F71" s="24" t="s">
        <v>39</v>
      </c>
      <c r="G71" s="26" t="s">
        <v>42</v>
      </c>
    </row>
    <row r="72" spans="1:13" ht="15.75" x14ac:dyDescent="0.25">
      <c r="A72" s="33">
        <v>12</v>
      </c>
      <c r="B72" s="14">
        <v>13</v>
      </c>
      <c r="C72" s="33">
        <v>14</v>
      </c>
      <c r="D72" s="14">
        <v>15</v>
      </c>
      <c r="E72" s="15">
        <v>16</v>
      </c>
      <c r="F72" s="14">
        <v>17</v>
      </c>
      <c r="G72" s="84">
        <v>18</v>
      </c>
    </row>
    <row r="73" spans="1:13" ht="15.75" x14ac:dyDescent="0.25">
      <c r="A73" s="21" t="s">
        <v>27</v>
      </c>
      <c r="B73" s="21" t="s">
        <v>33</v>
      </c>
      <c r="C73" s="21" t="s">
        <v>25</v>
      </c>
      <c r="D73" s="21" t="s">
        <v>26</v>
      </c>
      <c r="E73" s="70" t="s">
        <v>90</v>
      </c>
      <c r="F73" s="20"/>
      <c r="G73" s="85" t="s">
        <v>33</v>
      </c>
    </row>
    <row r="74" spans="1:13" ht="15.75" x14ac:dyDescent="0.25">
      <c r="A74" s="24" t="s">
        <v>56</v>
      </c>
      <c r="B74" s="24" t="s">
        <v>29</v>
      </c>
      <c r="C74" s="24" t="s">
        <v>50</v>
      </c>
      <c r="D74" s="24" t="s">
        <v>57</v>
      </c>
      <c r="E74" s="71" t="s">
        <v>50</v>
      </c>
      <c r="F74" s="24" t="s">
        <v>40</v>
      </c>
      <c r="G74" s="86" t="s">
        <v>38</v>
      </c>
    </row>
    <row r="75" spans="1:13" ht="15.75" x14ac:dyDescent="0.25">
      <c r="A75" s="33">
        <v>19</v>
      </c>
      <c r="B75" s="14">
        <v>20</v>
      </c>
      <c r="C75" s="33">
        <v>21</v>
      </c>
      <c r="D75" s="14">
        <v>22</v>
      </c>
      <c r="E75" s="68">
        <v>23</v>
      </c>
      <c r="F75" s="20">
        <v>24</v>
      </c>
      <c r="G75" s="16">
        <v>25</v>
      </c>
    </row>
    <row r="76" spans="1:13" ht="15.75" x14ac:dyDescent="0.25">
      <c r="A76" s="81" t="s">
        <v>57</v>
      </c>
      <c r="B76" s="21" t="s">
        <v>17</v>
      </c>
      <c r="C76" s="21" t="s">
        <v>34</v>
      </c>
      <c r="D76" s="21" t="s">
        <v>49</v>
      </c>
      <c r="E76" s="70" t="s">
        <v>98</v>
      </c>
      <c r="F76" s="20"/>
      <c r="G76" s="23" t="s">
        <v>29</v>
      </c>
    </row>
    <row r="77" spans="1:13" ht="15.75" x14ac:dyDescent="0.25">
      <c r="A77" s="32" t="s">
        <v>45</v>
      </c>
      <c r="B77" s="24" t="s">
        <v>23</v>
      </c>
      <c r="C77" s="32" t="s">
        <v>42</v>
      </c>
      <c r="D77" s="24" t="s">
        <v>44</v>
      </c>
      <c r="E77" s="25" t="s">
        <v>57</v>
      </c>
      <c r="F77" s="24" t="s">
        <v>41</v>
      </c>
      <c r="G77" s="26" t="s">
        <v>41</v>
      </c>
    </row>
    <row r="78" spans="1:13" ht="15.75" x14ac:dyDescent="0.25">
      <c r="A78" s="33">
        <v>26</v>
      </c>
      <c r="B78" s="20">
        <v>27</v>
      </c>
      <c r="C78" s="14">
        <v>28</v>
      </c>
      <c r="D78" s="33">
        <v>29</v>
      </c>
      <c r="E78" s="15">
        <v>30</v>
      </c>
      <c r="F78" s="20">
        <v>31</v>
      </c>
    </row>
    <row r="79" spans="1:13" ht="15.75" x14ac:dyDescent="0.25">
      <c r="A79" s="81" t="s">
        <v>50</v>
      </c>
      <c r="B79" s="81" t="s">
        <v>18</v>
      </c>
      <c r="C79" s="81" t="s">
        <v>28</v>
      </c>
      <c r="D79" s="81" t="s">
        <v>32</v>
      </c>
      <c r="E79" s="22" t="s">
        <v>92</v>
      </c>
      <c r="F79" s="20"/>
    </row>
    <row r="80" spans="1:13" ht="15.75" x14ac:dyDescent="0.25">
      <c r="A80" s="72" t="s">
        <v>40</v>
      </c>
      <c r="B80" s="24" t="s">
        <v>21</v>
      </c>
      <c r="C80" s="24" t="s">
        <v>22</v>
      </c>
      <c r="D80" s="32" t="s">
        <v>38</v>
      </c>
      <c r="E80" s="25" t="s">
        <v>45</v>
      </c>
      <c r="F80" s="24" t="s">
        <v>44</v>
      </c>
    </row>
    <row r="81" spans="1:7" ht="15.75" x14ac:dyDescent="0.25">
      <c r="F81" s="1"/>
    </row>
    <row r="82" spans="1:7" ht="15.75" x14ac:dyDescent="0.25">
      <c r="F82" s="1"/>
    </row>
    <row r="83" spans="1:7" ht="15.75" x14ac:dyDescent="0.25">
      <c r="A83" s="7">
        <v>46054</v>
      </c>
      <c r="B83" s="50"/>
      <c r="C83" s="50"/>
      <c r="D83" s="50"/>
      <c r="E83" s="50"/>
      <c r="F83" s="51"/>
      <c r="G83" s="50"/>
    </row>
    <row r="84" spans="1:7" ht="15.75" x14ac:dyDescent="0.25">
      <c r="A84" s="52" t="s">
        <v>8</v>
      </c>
      <c r="B84" s="52" t="s">
        <v>9</v>
      </c>
      <c r="C84" s="52" t="s">
        <v>10</v>
      </c>
      <c r="D84" s="52" t="s">
        <v>11</v>
      </c>
      <c r="E84" s="52" t="s">
        <v>12</v>
      </c>
      <c r="F84" s="54" t="s">
        <v>13</v>
      </c>
      <c r="G84" s="55" t="s">
        <v>14</v>
      </c>
    </row>
    <row r="85" spans="1:7" ht="15.75" x14ac:dyDescent="0.25">
      <c r="A85" s="33"/>
      <c r="B85" s="20"/>
      <c r="C85" s="14"/>
      <c r="D85" s="33"/>
      <c r="E85" s="33"/>
      <c r="F85" s="20"/>
      <c r="G85" s="16">
        <v>1</v>
      </c>
    </row>
    <row r="86" spans="1:7" ht="15.75" x14ac:dyDescent="0.25">
      <c r="A86" s="59"/>
      <c r="B86" s="20"/>
      <c r="C86" s="20"/>
      <c r="D86" s="35"/>
      <c r="E86" s="35"/>
      <c r="F86" s="20"/>
      <c r="G86" s="23" t="s">
        <v>19</v>
      </c>
    </row>
    <row r="87" spans="1:7" ht="15.75" x14ac:dyDescent="0.25">
      <c r="A87" s="32"/>
      <c r="B87" s="24"/>
      <c r="C87" s="24"/>
      <c r="D87" s="32"/>
      <c r="E87" s="32"/>
      <c r="F87" s="24"/>
      <c r="G87" s="26" t="s">
        <v>44</v>
      </c>
    </row>
    <row r="88" spans="1:7" ht="15.75" x14ac:dyDescent="0.25">
      <c r="A88" s="14">
        <v>2</v>
      </c>
      <c r="B88" s="14">
        <v>3</v>
      </c>
      <c r="C88" s="14">
        <v>4</v>
      </c>
      <c r="D88" s="57">
        <v>5</v>
      </c>
      <c r="E88" s="15">
        <v>6</v>
      </c>
      <c r="F88" s="57">
        <v>7</v>
      </c>
      <c r="G88" s="16">
        <v>8</v>
      </c>
    </row>
    <row r="89" spans="1:7" ht="15.75" x14ac:dyDescent="0.25">
      <c r="A89" s="81" t="s">
        <v>29</v>
      </c>
      <c r="B89" s="81" t="s">
        <v>57</v>
      </c>
      <c r="C89" s="81" t="s">
        <v>19</v>
      </c>
      <c r="D89" s="81" t="s">
        <v>33</v>
      </c>
      <c r="E89" s="72" t="s">
        <v>88</v>
      </c>
      <c r="F89" s="59"/>
      <c r="G89" s="23" t="s">
        <v>50</v>
      </c>
    </row>
    <row r="90" spans="1:7" ht="15.75" x14ac:dyDescent="0.25">
      <c r="A90" s="87" t="s">
        <v>39</v>
      </c>
      <c r="B90" s="32" t="s">
        <v>40</v>
      </c>
      <c r="C90" s="24" t="s">
        <v>41</v>
      </c>
      <c r="D90" s="65" t="s">
        <v>56</v>
      </c>
      <c r="E90" s="25" t="s">
        <v>23</v>
      </c>
      <c r="F90" s="24" t="s">
        <v>21</v>
      </c>
      <c r="G90" s="26" t="s">
        <v>45</v>
      </c>
    </row>
    <row r="91" spans="1:7" ht="15.75" x14ac:dyDescent="0.25">
      <c r="A91" s="14">
        <v>9</v>
      </c>
      <c r="B91" s="57">
        <v>10</v>
      </c>
      <c r="C91" s="14">
        <v>11</v>
      </c>
      <c r="D91" s="57">
        <v>12</v>
      </c>
      <c r="E91" s="15">
        <v>13</v>
      </c>
      <c r="F91" s="57">
        <v>14</v>
      </c>
      <c r="G91" s="16">
        <v>15</v>
      </c>
    </row>
    <row r="92" spans="1:7" ht="15.75" x14ac:dyDescent="0.25">
      <c r="A92" s="21" t="s">
        <v>27</v>
      </c>
      <c r="B92" s="21" t="s">
        <v>26</v>
      </c>
      <c r="C92" s="21" t="s">
        <v>25</v>
      </c>
      <c r="D92" s="21" t="s">
        <v>17</v>
      </c>
      <c r="E92" s="22" t="s">
        <v>19</v>
      </c>
      <c r="F92" s="59"/>
      <c r="G92" s="23" t="s">
        <v>72</v>
      </c>
    </row>
    <row r="93" spans="1:7" ht="15.75" x14ac:dyDescent="0.25">
      <c r="A93" s="87" t="s">
        <v>29</v>
      </c>
      <c r="B93" s="13" t="s">
        <v>50</v>
      </c>
      <c r="C93" s="24" t="s">
        <v>57</v>
      </c>
      <c r="D93" s="32" t="s">
        <v>45</v>
      </c>
      <c r="E93" s="25" t="s">
        <v>42</v>
      </c>
      <c r="F93" s="24" t="s">
        <v>22</v>
      </c>
      <c r="G93" s="26" t="s">
        <v>40</v>
      </c>
    </row>
    <row r="94" spans="1:7" ht="15.75" x14ac:dyDescent="0.25">
      <c r="A94" s="14">
        <v>16</v>
      </c>
      <c r="B94" s="57">
        <v>17</v>
      </c>
      <c r="C94" s="57">
        <v>18</v>
      </c>
      <c r="D94" s="57">
        <v>19</v>
      </c>
      <c r="E94" s="15">
        <v>20</v>
      </c>
      <c r="F94" s="57">
        <v>21</v>
      </c>
      <c r="G94" s="84">
        <v>22</v>
      </c>
    </row>
    <row r="95" spans="1:7" ht="15.75" x14ac:dyDescent="0.25">
      <c r="A95" s="21" t="s">
        <v>34</v>
      </c>
      <c r="B95" s="21" t="s">
        <v>49</v>
      </c>
      <c r="C95" s="21" t="s">
        <v>50</v>
      </c>
      <c r="D95" s="21" t="s">
        <v>18</v>
      </c>
      <c r="E95" s="22" t="s">
        <v>29</v>
      </c>
      <c r="F95" s="59"/>
      <c r="G95" s="88" t="s">
        <v>34</v>
      </c>
    </row>
    <row r="96" spans="1:7" ht="15.75" x14ac:dyDescent="0.25">
      <c r="A96" s="24" t="s">
        <v>23</v>
      </c>
      <c r="B96" s="24" t="s">
        <v>42</v>
      </c>
      <c r="C96" s="32" t="s">
        <v>44</v>
      </c>
      <c r="D96" s="72" t="s">
        <v>41</v>
      </c>
      <c r="E96" s="25" t="s">
        <v>44</v>
      </c>
      <c r="F96" s="24" t="s">
        <v>45</v>
      </c>
      <c r="G96" s="89" t="s">
        <v>21</v>
      </c>
    </row>
    <row r="97" spans="1:7" ht="15.75" x14ac:dyDescent="0.25">
      <c r="A97" s="14">
        <v>23</v>
      </c>
      <c r="B97" s="57">
        <v>24</v>
      </c>
      <c r="C97" s="57">
        <v>25</v>
      </c>
      <c r="D97" s="20">
        <v>26</v>
      </c>
      <c r="E97" s="15">
        <v>27</v>
      </c>
      <c r="F97" s="57">
        <v>28</v>
      </c>
    </row>
    <row r="98" spans="1:7" ht="15.75" x14ac:dyDescent="0.25">
      <c r="A98" s="21" t="s">
        <v>25</v>
      </c>
      <c r="B98" s="21" t="s">
        <v>32</v>
      </c>
      <c r="C98" s="21" t="s">
        <v>29</v>
      </c>
      <c r="D98" s="21" t="s">
        <v>20</v>
      </c>
      <c r="E98" s="22" t="s">
        <v>50</v>
      </c>
      <c r="F98" s="59"/>
    </row>
    <row r="99" spans="1:7" ht="15.75" x14ac:dyDescent="0.25">
      <c r="A99" s="24" t="s">
        <v>21</v>
      </c>
      <c r="B99" s="24" t="s">
        <v>22</v>
      </c>
      <c r="C99" s="24" t="s">
        <v>38</v>
      </c>
      <c r="D99" s="24" t="s">
        <v>39</v>
      </c>
      <c r="E99" s="25" t="s">
        <v>21</v>
      </c>
      <c r="F99" s="24" t="s">
        <v>23</v>
      </c>
    </row>
    <row r="100" spans="1:7" ht="15.75" x14ac:dyDescent="0.25">
      <c r="A100" s="13"/>
      <c r="B100" s="13"/>
      <c r="C100" s="13"/>
      <c r="D100" s="13"/>
      <c r="F100" s="1"/>
    </row>
    <row r="101" spans="1:7" ht="15.75" x14ac:dyDescent="0.25">
      <c r="A101" s="13"/>
      <c r="B101" s="13"/>
      <c r="C101" s="13"/>
      <c r="D101" s="13"/>
      <c r="E101" s="50"/>
      <c r="F101" s="1"/>
      <c r="G101" s="50"/>
    </row>
    <row r="102" spans="1:7" ht="15.75" x14ac:dyDescent="0.25">
      <c r="A102" s="49">
        <v>46082</v>
      </c>
      <c r="B102" s="50"/>
      <c r="C102" s="50"/>
      <c r="D102" s="50"/>
      <c r="E102" s="50"/>
      <c r="F102" s="51"/>
      <c r="G102" s="50"/>
    </row>
    <row r="103" spans="1:7" ht="15.75" x14ac:dyDescent="0.25">
      <c r="A103" s="52" t="s">
        <v>8</v>
      </c>
      <c r="B103" s="52" t="s">
        <v>9</v>
      </c>
      <c r="C103" s="52" t="s">
        <v>10</v>
      </c>
      <c r="D103" s="52" t="s">
        <v>11</v>
      </c>
      <c r="E103" s="52" t="s">
        <v>12</v>
      </c>
      <c r="F103" s="54" t="s">
        <v>13</v>
      </c>
      <c r="G103" s="55" t="s">
        <v>14</v>
      </c>
    </row>
    <row r="104" spans="1:7" ht="15.75" x14ac:dyDescent="0.25">
      <c r="A104" s="14"/>
      <c r="B104" s="14"/>
      <c r="C104" s="14"/>
      <c r="D104" s="14"/>
      <c r="E104" s="14"/>
      <c r="F104" s="14"/>
      <c r="G104" s="16">
        <v>1</v>
      </c>
    </row>
    <row r="105" spans="1:7" ht="15.75" x14ac:dyDescent="0.25">
      <c r="A105" s="20"/>
      <c r="B105" s="20"/>
      <c r="C105" s="20"/>
      <c r="D105" s="20"/>
      <c r="E105" s="20"/>
      <c r="F105" s="20"/>
      <c r="G105" s="23" t="s">
        <v>20</v>
      </c>
    </row>
    <row r="106" spans="1:7" ht="15.75" x14ac:dyDescent="0.25">
      <c r="A106" s="24"/>
      <c r="B106" s="24"/>
      <c r="C106" s="24"/>
      <c r="D106" s="24"/>
      <c r="E106" s="87"/>
      <c r="F106" s="24"/>
      <c r="G106" s="26" t="s">
        <v>23</v>
      </c>
    </row>
    <row r="107" spans="1:7" ht="15.75" x14ac:dyDescent="0.25">
      <c r="A107" s="20">
        <v>2</v>
      </c>
      <c r="B107" s="14">
        <v>3</v>
      </c>
      <c r="C107" s="14">
        <v>4</v>
      </c>
      <c r="D107" s="56">
        <v>5</v>
      </c>
      <c r="E107" s="15">
        <v>6</v>
      </c>
      <c r="F107" s="57">
        <v>7</v>
      </c>
      <c r="G107" s="16">
        <v>8</v>
      </c>
    </row>
    <row r="108" spans="1:7" ht="15.75" x14ac:dyDescent="0.25">
      <c r="A108" s="21" t="s">
        <v>57</v>
      </c>
      <c r="B108" s="21" t="s">
        <v>19</v>
      </c>
      <c r="C108" s="21" t="s">
        <v>33</v>
      </c>
      <c r="D108" s="21" t="s">
        <v>26</v>
      </c>
      <c r="E108" s="22" t="s">
        <v>57</v>
      </c>
      <c r="F108" s="59"/>
      <c r="G108" s="23" t="s">
        <v>27</v>
      </c>
    </row>
    <row r="109" spans="1:7" ht="15.75" x14ac:dyDescent="0.25">
      <c r="A109" s="24" t="s">
        <v>40</v>
      </c>
      <c r="B109" s="24" t="s">
        <v>41</v>
      </c>
      <c r="C109" s="24" t="s">
        <v>56</v>
      </c>
      <c r="D109" s="32" t="s">
        <v>29</v>
      </c>
      <c r="E109" s="25" t="s">
        <v>22</v>
      </c>
      <c r="F109" s="65" t="s">
        <v>42</v>
      </c>
      <c r="G109" s="26" t="s">
        <v>39</v>
      </c>
    </row>
    <row r="110" spans="1:7" ht="15.75" x14ac:dyDescent="0.25">
      <c r="A110" s="14">
        <v>9</v>
      </c>
      <c r="B110" s="14">
        <v>10</v>
      </c>
      <c r="C110" s="14">
        <v>11</v>
      </c>
      <c r="D110" s="14">
        <v>12</v>
      </c>
      <c r="E110" s="22">
        <v>13</v>
      </c>
      <c r="F110" s="14">
        <v>14</v>
      </c>
      <c r="G110" s="16">
        <v>15</v>
      </c>
    </row>
    <row r="111" spans="1:7" ht="15.75" x14ac:dyDescent="0.25">
      <c r="A111" s="81" t="s">
        <v>27</v>
      </c>
      <c r="B111" s="21" t="s">
        <v>17</v>
      </c>
      <c r="C111" s="21" t="s">
        <v>34</v>
      </c>
      <c r="D111" s="21" t="s">
        <v>49</v>
      </c>
      <c r="E111" s="22" t="s">
        <v>84</v>
      </c>
      <c r="F111" s="20"/>
      <c r="G111" s="23" t="s">
        <v>19</v>
      </c>
    </row>
    <row r="112" spans="1:7" ht="15.75" x14ac:dyDescent="0.25">
      <c r="A112" s="65" t="s">
        <v>50</v>
      </c>
      <c r="B112" s="65" t="s">
        <v>57</v>
      </c>
      <c r="C112" s="24" t="s">
        <v>45</v>
      </c>
      <c r="D112" s="64" t="s">
        <v>23</v>
      </c>
      <c r="E112" s="25" t="s">
        <v>38</v>
      </c>
      <c r="F112" s="24" t="s">
        <v>56</v>
      </c>
      <c r="G112" s="26" t="s">
        <v>22</v>
      </c>
    </row>
    <row r="113" spans="1:7" ht="15.75" x14ac:dyDescent="0.25">
      <c r="A113" s="14">
        <v>16</v>
      </c>
      <c r="B113" s="14">
        <v>17</v>
      </c>
      <c r="C113" s="14">
        <v>18</v>
      </c>
      <c r="D113" s="14">
        <v>19</v>
      </c>
      <c r="E113" s="15">
        <v>20</v>
      </c>
      <c r="F113" s="14">
        <v>21</v>
      </c>
      <c r="G113" s="16">
        <v>22</v>
      </c>
    </row>
    <row r="114" spans="1:7" ht="15.75" x14ac:dyDescent="0.25">
      <c r="A114" s="81" t="s">
        <v>50</v>
      </c>
      <c r="B114" s="21" t="s">
        <v>18</v>
      </c>
      <c r="C114" s="21" t="s">
        <v>28</v>
      </c>
      <c r="D114" s="21" t="s">
        <v>32</v>
      </c>
      <c r="E114" s="22" t="s">
        <v>79</v>
      </c>
      <c r="F114" s="20"/>
      <c r="G114" s="23" t="s">
        <v>125</v>
      </c>
    </row>
    <row r="115" spans="1:7" ht="15.75" x14ac:dyDescent="0.25">
      <c r="A115" s="24" t="s">
        <v>42</v>
      </c>
      <c r="B115" s="24" t="s">
        <v>44</v>
      </c>
      <c r="C115" s="72" t="s">
        <v>45</v>
      </c>
      <c r="D115" s="24" t="s">
        <v>21</v>
      </c>
      <c r="E115" s="25" t="s">
        <v>39</v>
      </c>
      <c r="F115" s="24" t="s">
        <v>125</v>
      </c>
      <c r="G115" s="26" t="s">
        <v>42</v>
      </c>
    </row>
    <row r="116" spans="1:7" ht="15.75" x14ac:dyDescent="0.25">
      <c r="A116" s="14">
        <v>23</v>
      </c>
      <c r="B116" s="14">
        <v>24</v>
      </c>
      <c r="C116" s="14">
        <v>25</v>
      </c>
      <c r="D116" s="14">
        <v>26</v>
      </c>
      <c r="E116" s="15">
        <v>27</v>
      </c>
      <c r="F116" s="14">
        <v>28</v>
      </c>
      <c r="G116" s="16">
        <v>29</v>
      </c>
    </row>
    <row r="117" spans="1:7" ht="15.75" x14ac:dyDescent="0.25">
      <c r="A117" s="21" t="s">
        <v>125</v>
      </c>
      <c r="B117" s="21" t="s">
        <v>25</v>
      </c>
      <c r="C117" s="21" t="s">
        <v>27</v>
      </c>
      <c r="D117" s="21" t="s">
        <v>57</v>
      </c>
      <c r="E117" s="22" t="s">
        <v>86</v>
      </c>
      <c r="F117" s="20"/>
      <c r="G117" s="23" t="s">
        <v>50</v>
      </c>
    </row>
    <row r="118" spans="1:7" ht="15.75" x14ac:dyDescent="0.25">
      <c r="A118" s="65" t="s">
        <v>22</v>
      </c>
      <c r="B118" s="24" t="s">
        <v>38</v>
      </c>
      <c r="C118" s="24" t="s">
        <v>39</v>
      </c>
      <c r="D118" s="24" t="s">
        <v>40</v>
      </c>
      <c r="E118" s="25" t="s">
        <v>40</v>
      </c>
      <c r="F118" s="24" t="s">
        <v>50</v>
      </c>
      <c r="G118" s="26" t="s">
        <v>38</v>
      </c>
    </row>
    <row r="119" spans="1:7" ht="15.75" x14ac:dyDescent="0.25">
      <c r="A119" s="14">
        <v>30</v>
      </c>
      <c r="B119" s="14">
        <v>31</v>
      </c>
      <c r="C119" s="13"/>
      <c r="D119" s="13"/>
      <c r="E119" s="13"/>
      <c r="F119" s="13"/>
      <c r="G119" s="13"/>
    </row>
    <row r="120" spans="1:7" ht="15.75" x14ac:dyDescent="0.25">
      <c r="A120" s="21" t="s">
        <v>19</v>
      </c>
      <c r="B120" s="21" t="s">
        <v>26</v>
      </c>
      <c r="C120" s="13"/>
      <c r="D120" s="13"/>
      <c r="E120" s="13"/>
      <c r="F120" s="13"/>
      <c r="G120" s="13"/>
    </row>
    <row r="121" spans="1:7" ht="15.75" x14ac:dyDescent="0.25">
      <c r="A121" s="65" t="s">
        <v>41</v>
      </c>
      <c r="B121" s="24" t="s">
        <v>56</v>
      </c>
      <c r="F121" s="1"/>
    </row>
    <row r="122" spans="1:7" ht="15.75" x14ac:dyDescent="0.25">
      <c r="F122" s="1"/>
    </row>
    <row r="123" spans="1:7" ht="15.75" x14ac:dyDescent="0.25">
      <c r="F123" s="1"/>
    </row>
    <row r="124" spans="1:7" ht="15.75" x14ac:dyDescent="0.25">
      <c r="F124" s="1"/>
    </row>
    <row r="125" spans="1:7" ht="15.75" x14ac:dyDescent="0.25">
      <c r="A125" s="49">
        <v>46113</v>
      </c>
      <c r="B125" s="50"/>
      <c r="C125" s="50"/>
      <c r="D125" s="50"/>
      <c r="E125" s="50"/>
      <c r="F125" s="51"/>
      <c r="G125" s="50"/>
    </row>
    <row r="126" spans="1:7" ht="15.75" x14ac:dyDescent="0.25">
      <c r="A126" s="52" t="s">
        <v>8</v>
      </c>
      <c r="B126" s="52" t="s">
        <v>9</v>
      </c>
      <c r="C126" s="52" t="s">
        <v>10</v>
      </c>
      <c r="D126" s="52" t="s">
        <v>11</v>
      </c>
      <c r="E126" s="52" t="s">
        <v>12</v>
      </c>
      <c r="F126" s="54" t="s">
        <v>13</v>
      </c>
      <c r="G126" s="55" t="s">
        <v>14</v>
      </c>
    </row>
    <row r="127" spans="1:7" ht="15.75" x14ac:dyDescent="0.25">
      <c r="A127" s="14"/>
      <c r="B127" s="14"/>
      <c r="C127" s="14">
        <v>1</v>
      </c>
      <c r="D127" s="42">
        <v>2</v>
      </c>
      <c r="E127" s="58">
        <v>3</v>
      </c>
      <c r="F127" s="76">
        <v>4</v>
      </c>
      <c r="G127" s="58">
        <v>5</v>
      </c>
    </row>
    <row r="128" spans="1:7" ht="15.75" x14ac:dyDescent="0.25">
      <c r="A128" s="20"/>
      <c r="B128" s="20"/>
      <c r="C128" s="21" t="s">
        <v>33</v>
      </c>
      <c r="D128" s="45" t="s">
        <v>18</v>
      </c>
      <c r="E128" s="60" t="s">
        <v>18</v>
      </c>
      <c r="F128" s="79"/>
      <c r="G128" s="60"/>
    </row>
    <row r="129" spans="1:7" ht="15.75" x14ac:dyDescent="0.25">
      <c r="A129" s="24"/>
      <c r="B129" s="24"/>
      <c r="C129" s="24" t="s">
        <v>125</v>
      </c>
      <c r="D129" s="47" t="s">
        <v>23</v>
      </c>
      <c r="E129" s="66" t="s">
        <v>23</v>
      </c>
      <c r="F129" s="80"/>
      <c r="G129" s="66" t="s">
        <v>40</v>
      </c>
    </row>
    <row r="130" spans="1:7" ht="15.75" x14ac:dyDescent="0.25">
      <c r="A130" s="58">
        <v>6</v>
      </c>
      <c r="B130" s="14">
        <v>7</v>
      </c>
      <c r="C130" s="14">
        <v>8</v>
      </c>
      <c r="D130" s="56">
        <v>9</v>
      </c>
      <c r="E130" s="15">
        <v>10</v>
      </c>
      <c r="F130" s="14">
        <v>11</v>
      </c>
      <c r="G130" s="16">
        <v>12</v>
      </c>
    </row>
    <row r="131" spans="1:7" ht="15.75" x14ac:dyDescent="0.25">
      <c r="A131" s="78" t="s">
        <v>33</v>
      </c>
      <c r="B131" s="21" t="s">
        <v>17</v>
      </c>
      <c r="C131" s="21" t="s">
        <v>49</v>
      </c>
      <c r="D131" s="21" t="s">
        <v>34</v>
      </c>
      <c r="E131" s="22" t="s">
        <v>90</v>
      </c>
      <c r="F131" s="20"/>
      <c r="G131" s="23" t="s">
        <v>72</v>
      </c>
    </row>
    <row r="132" spans="1:7" ht="15.75" x14ac:dyDescent="0.25">
      <c r="A132" s="66" t="s">
        <v>40</v>
      </c>
      <c r="B132" s="24" t="s">
        <v>50</v>
      </c>
      <c r="C132" s="24" t="s">
        <v>57</v>
      </c>
      <c r="D132" s="24" t="s">
        <v>45</v>
      </c>
      <c r="E132" s="25" t="s">
        <v>41</v>
      </c>
      <c r="F132" s="24" t="s">
        <v>57</v>
      </c>
      <c r="G132" s="26" t="s">
        <v>41</v>
      </c>
    </row>
    <row r="133" spans="1:7" ht="15.75" x14ac:dyDescent="0.25">
      <c r="A133" s="14">
        <v>13</v>
      </c>
      <c r="B133" s="14">
        <v>14</v>
      </c>
      <c r="C133" s="14">
        <v>15</v>
      </c>
      <c r="D133" s="14">
        <v>16</v>
      </c>
      <c r="E133" s="15">
        <v>17</v>
      </c>
      <c r="F133" s="14">
        <v>18</v>
      </c>
      <c r="G133" s="16">
        <v>19</v>
      </c>
    </row>
    <row r="134" spans="1:7" ht="15.75" x14ac:dyDescent="0.25">
      <c r="A134" s="21" t="s">
        <v>50</v>
      </c>
      <c r="B134" s="21" t="s">
        <v>18</v>
      </c>
      <c r="C134" s="21" t="s">
        <v>32</v>
      </c>
      <c r="D134" s="21" t="s">
        <v>20</v>
      </c>
      <c r="E134" s="22" t="s">
        <v>98</v>
      </c>
      <c r="F134" s="20"/>
      <c r="G134" s="23" t="s">
        <v>49</v>
      </c>
    </row>
    <row r="135" spans="1:7" ht="15.75" x14ac:dyDescent="0.25">
      <c r="A135" s="65" t="s">
        <v>23</v>
      </c>
      <c r="B135" s="65" t="s">
        <v>42</v>
      </c>
      <c r="C135" s="24" t="s">
        <v>44</v>
      </c>
      <c r="D135" s="72" t="s">
        <v>23</v>
      </c>
      <c r="E135" s="25" t="s">
        <v>56</v>
      </c>
      <c r="F135" s="24" t="s">
        <v>38</v>
      </c>
      <c r="G135" s="26" t="s">
        <v>44</v>
      </c>
    </row>
    <row r="136" spans="1:7" ht="15.75" x14ac:dyDescent="0.25">
      <c r="A136" s="14">
        <v>20</v>
      </c>
      <c r="B136" s="14">
        <v>21</v>
      </c>
      <c r="C136" s="14">
        <v>22</v>
      </c>
      <c r="D136" s="14">
        <v>23</v>
      </c>
      <c r="E136" s="15">
        <v>24</v>
      </c>
      <c r="F136" s="14">
        <v>25</v>
      </c>
      <c r="G136" s="16">
        <v>26</v>
      </c>
    </row>
    <row r="137" spans="1:7" ht="15.75" x14ac:dyDescent="0.25">
      <c r="A137" s="21" t="s">
        <v>125</v>
      </c>
      <c r="B137" s="21" t="s">
        <v>25</v>
      </c>
      <c r="C137" s="21" t="s">
        <v>27</v>
      </c>
      <c r="D137" s="21" t="s">
        <v>33</v>
      </c>
      <c r="E137" s="22" t="s">
        <v>92</v>
      </c>
      <c r="F137" s="20"/>
      <c r="G137" s="23" t="s">
        <v>32</v>
      </c>
    </row>
    <row r="138" spans="1:7" ht="15.75" x14ac:dyDescent="0.25">
      <c r="A138" s="24" t="s">
        <v>21</v>
      </c>
      <c r="B138" s="24" t="s">
        <v>22</v>
      </c>
      <c r="C138" s="24" t="s">
        <v>38</v>
      </c>
      <c r="D138" s="24" t="s">
        <v>39</v>
      </c>
      <c r="E138" s="25" t="s">
        <v>125</v>
      </c>
      <c r="F138" s="24" t="s">
        <v>39</v>
      </c>
      <c r="G138" s="26" t="s">
        <v>45</v>
      </c>
    </row>
    <row r="139" spans="1:7" ht="15.75" x14ac:dyDescent="0.25">
      <c r="A139" s="14">
        <v>27</v>
      </c>
      <c r="B139" s="14">
        <v>28</v>
      </c>
      <c r="C139" s="14">
        <v>29</v>
      </c>
      <c r="D139" s="42">
        <v>30</v>
      </c>
      <c r="E139" s="13"/>
      <c r="F139" s="13"/>
      <c r="G139" s="13"/>
    </row>
    <row r="140" spans="1:7" ht="15.75" x14ac:dyDescent="0.25">
      <c r="A140" s="21" t="s">
        <v>19</v>
      </c>
      <c r="B140" s="21" t="s">
        <v>57</v>
      </c>
      <c r="C140" s="21" t="s">
        <v>26</v>
      </c>
      <c r="D140" s="77" t="s">
        <v>34</v>
      </c>
      <c r="E140" s="13"/>
      <c r="F140" s="13"/>
      <c r="G140" s="13"/>
    </row>
    <row r="141" spans="1:7" ht="15.75" x14ac:dyDescent="0.25">
      <c r="A141" s="65" t="s">
        <v>40</v>
      </c>
      <c r="B141" s="24" t="s">
        <v>41</v>
      </c>
      <c r="C141" s="24" t="s">
        <v>56</v>
      </c>
      <c r="D141" s="47" t="s">
        <v>45</v>
      </c>
    </row>
    <row r="142" spans="1:7" ht="15.75" x14ac:dyDescent="0.25">
      <c r="F142" s="1"/>
    </row>
    <row r="143" spans="1:7" ht="15.75" x14ac:dyDescent="0.25">
      <c r="F143" s="1"/>
    </row>
    <row r="144" spans="1:7" ht="15.75" x14ac:dyDescent="0.25">
      <c r="A144" s="49">
        <v>46143</v>
      </c>
      <c r="B144" s="50"/>
      <c r="C144" s="50"/>
      <c r="D144" s="50"/>
      <c r="E144" s="50"/>
      <c r="F144" s="51"/>
      <c r="G144" s="50"/>
    </row>
    <row r="145" spans="1:7" ht="15.75" x14ac:dyDescent="0.25">
      <c r="A145" s="52" t="s">
        <v>8</v>
      </c>
      <c r="B145" s="52" t="s">
        <v>9</v>
      </c>
      <c r="C145" s="52" t="s">
        <v>10</v>
      </c>
      <c r="D145" s="52" t="s">
        <v>11</v>
      </c>
      <c r="E145" s="52" t="s">
        <v>12</v>
      </c>
      <c r="F145" s="54" t="s">
        <v>13</v>
      </c>
      <c r="G145" s="55" t="s">
        <v>14</v>
      </c>
    </row>
    <row r="146" spans="1:7" ht="15.75" x14ac:dyDescent="0.25">
      <c r="A146" s="14"/>
      <c r="B146" s="14"/>
      <c r="C146" s="14"/>
      <c r="D146" s="14"/>
      <c r="E146" s="58">
        <v>1</v>
      </c>
      <c r="F146" s="76">
        <v>2</v>
      </c>
      <c r="G146" s="16">
        <v>3</v>
      </c>
    </row>
    <row r="147" spans="1:7" ht="15.75" x14ac:dyDescent="0.25">
      <c r="A147" s="20"/>
      <c r="B147" s="20"/>
      <c r="C147" s="20"/>
      <c r="D147" s="20"/>
      <c r="E147" s="60" t="s">
        <v>19</v>
      </c>
      <c r="F147" s="79" t="s">
        <v>56</v>
      </c>
      <c r="G147" s="23" t="s">
        <v>33</v>
      </c>
    </row>
    <row r="148" spans="1:7" ht="15.75" x14ac:dyDescent="0.25">
      <c r="A148" s="24"/>
      <c r="B148" s="24"/>
      <c r="C148" s="24"/>
      <c r="D148" s="24"/>
      <c r="E148" s="66" t="s">
        <v>45</v>
      </c>
      <c r="F148" s="80"/>
      <c r="G148" s="26" t="s">
        <v>40</v>
      </c>
    </row>
    <row r="149" spans="1:7" ht="15.75" x14ac:dyDescent="0.25">
      <c r="A149" s="20">
        <v>4</v>
      </c>
      <c r="B149" s="14">
        <v>5</v>
      </c>
      <c r="C149" s="14">
        <v>6</v>
      </c>
      <c r="D149" s="56">
        <v>7</v>
      </c>
      <c r="E149" s="15">
        <v>8</v>
      </c>
      <c r="F149" s="14">
        <v>9</v>
      </c>
      <c r="G149" s="16">
        <v>10</v>
      </c>
    </row>
    <row r="150" spans="1:7" ht="15.75" x14ac:dyDescent="0.25">
      <c r="A150" s="21" t="s">
        <v>17</v>
      </c>
      <c r="B150" s="21" t="s">
        <v>34</v>
      </c>
      <c r="C150" s="21" t="s">
        <v>49</v>
      </c>
      <c r="D150" s="21" t="s">
        <v>50</v>
      </c>
      <c r="E150" s="22" t="s">
        <v>85</v>
      </c>
      <c r="F150" s="20"/>
      <c r="G150" s="23" t="s">
        <v>79</v>
      </c>
    </row>
    <row r="151" spans="1:7" ht="15.75" x14ac:dyDescent="0.25">
      <c r="A151" s="24" t="s">
        <v>125</v>
      </c>
      <c r="B151" s="24" t="s">
        <v>50</v>
      </c>
      <c r="C151" s="24" t="s">
        <v>57</v>
      </c>
      <c r="D151" s="24" t="s">
        <v>45</v>
      </c>
      <c r="E151" s="25" t="s">
        <v>50</v>
      </c>
      <c r="F151" s="24" t="s">
        <v>40</v>
      </c>
      <c r="G151" s="26" t="s">
        <v>21</v>
      </c>
    </row>
    <row r="152" spans="1:7" ht="15.75" x14ac:dyDescent="0.25">
      <c r="A152" s="14">
        <v>11</v>
      </c>
      <c r="B152" s="14">
        <v>12</v>
      </c>
      <c r="C152" s="14">
        <v>13</v>
      </c>
      <c r="D152" s="14">
        <v>14</v>
      </c>
      <c r="E152" s="15">
        <v>15</v>
      </c>
      <c r="F152" s="14">
        <v>16</v>
      </c>
      <c r="G152" s="16">
        <v>17</v>
      </c>
    </row>
    <row r="153" spans="1:7" ht="15.75" x14ac:dyDescent="0.25">
      <c r="A153" s="21" t="s">
        <v>18</v>
      </c>
      <c r="B153" s="21" t="s">
        <v>28</v>
      </c>
      <c r="C153" s="21" t="s">
        <v>32</v>
      </c>
      <c r="D153" s="21" t="s">
        <v>125</v>
      </c>
      <c r="E153" s="22" t="s">
        <v>87</v>
      </c>
      <c r="F153" s="20"/>
      <c r="G153" s="23" t="s">
        <v>84</v>
      </c>
    </row>
    <row r="154" spans="1:7" ht="15.75" x14ac:dyDescent="0.25">
      <c r="A154" s="65" t="s">
        <v>23</v>
      </c>
      <c r="B154" s="65" t="s">
        <v>42</v>
      </c>
      <c r="C154" s="24" t="s">
        <v>44</v>
      </c>
      <c r="D154" s="72" t="s">
        <v>42</v>
      </c>
      <c r="E154" s="25" t="s">
        <v>45</v>
      </c>
      <c r="F154" s="24" t="s">
        <v>41</v>
      </c>
      <c r="G154" s="26" t="s">
        <v>23</v>
      </c>
    </row>
    <row r="155" spans="1:7" ht="15.75" x14ac:dyDescent="0.25">
      <c r="A155" s="14">
        <v>18</v>
      </c>
      <c r="B155" s="14">
        <v>19</v>
      </c>
      <c r="C155" s="14">
        <v>20</v>
      </c>
      <c r="D155" s="14">
        <v>21</v>
      </c>
      <c r="E155" s="42">
        <v>22</v>
      </c>
      <c r="F155" s="76">
        <v>23</v>
      </c>
      <c r="G155" s="58">
        <v>24</v>
      </c>
    </row>
    <row r="156" spans="1:7" ht="15.75" x14ac:dyDescent="0.25">
      <c r="A156" s="21" t="s">
        <v>25</v>
      </c>
      <c r="B156" s="21" t="s">
        <v>33</v>
      </c>
      <c r="C156" s="21" t="s">
        <v>27</v>
      </c>
      <c r="D156" s="21" t="s">
        <v>19</v>
      </c>
      <c r="E156" s="77" t="s">
        <v>27</v>
      </c>
      <c r="F156" s="79" t="s">
        <v>57</v>
      </c>
      <c r="G156" s="60"/>
    </row>
    <row r="157" spans="1:7" ht="15.75" x14ac:dyDescent="0.25">
      <c r="A157" s="24" t="s">
        <v>21</v>
      </c>
      <c r="B157" s="24" t="s">
        <v>22</v>
      </c>
      <c r="C157" s="24" t="s">
        <v>38</v>
      </c>
      <c r="D157" s="24" t="s">
        <v>39</v>
      </c>
      <c r="E157" s="47" t="s">
        <v>42</v>
      </c>
      <c r="F157" s="80"/>
      <c r="G157" s="66" t="s">
        <v>41</v>
      </c>
    </row>
    <row r="158" spans="1:7" ht="15.75" x14ac:dyDescent="0.25">
      <c r="A158" s="58">
        <v>25</v>
      </c>
      <c r="B158" s="14">
        <v>26</v>
      </c>
      <c r="C158" s="14">
        <v>27</v>
      </c>
      <c r="D158" s="14">
        <v>28</v>
      </c>
      <c r="E158" s="15">
        <v>29</v>
      </c>
      <c r="F158" s="14">
        <v>30</v>
      </c>
      <c r="G158" s="16">
        <v>31</v>
      </c>
    </row>
    <row r="159" spans="1:7" ht="15.75" x14ac:dyDescent="0.25">
      <c r="A159" s="60"/>
      <c r="B159" s="21" t="s">
        <v>26</v>
      </c>
      <c r="C159" s="21" t="s">
        <v>57</v>
      </c>
      <c r="D159" s="21" t="s">
        <v>17</v>
      </c>
      <c r="E159" s="22" t="s">
        <v>88</v>
      </c>
      <c r="F159" s="20"/>
      <c r="G159" s="23" t="s">
        <v>85</v>
      </c>
    </row>
    <row r="160" spans="1:7" ht="15.75" x14ac:dyDescent="0.25">
      <c r="A160" s="66" t="s">
        <v>42</v>
      </c>
      <c r="B160" s="24" t="s">
        <v>40</v>
      </c>
      <c r="C160" s="24" t="s">
        <v>41</v>
      </c>
      <c r="D160" s="24" t="s">
        <v>56</v>
      </c>
      <c r="E160" s="25" t="s">
        <v>57</v>
      </c>
      <c r="F160" s="24" t="s">
        <v>44</v>
      </c>
      <c r="G160" s="26" t="s">
        <v>39</v>
      </c>
    </row>
    <row r="161" spans="1:7" ht="15.75" x14ac:dyDescent="0.25">
      <c r="F161" s="1"/>
    </row>
    <row r="162" spans="1:7" ht="15.75" x14ac:dyDescent="0.25">
      <c r="F162" s="1"/>
    </row>
    <row r="163" spans="1:7" ht="15.75" x14ac:dyDescent="0.25">
      <c r="A163" s="49">
        <v>46174</v>
      </c>
      <c r="B163" s="50"/>
      <c r="C163" s="50"/>
      <c r="D163" s="50"/>
      <c r="E163" s="50"/>
      <c r="F163" s="51"/>
      <c r="G163" s="50"/>
    </row>
    <row r="164" spans="1:7" ht="15.75" x14ac:dyDescent="0.25">
      <c r="A164" s="52" t="s">
        <v>8</v>
      </c>
      <c r="B164" s="52" t="s">
        <v>9</v>
      </c>
      <c r="C164" s="52" t="s">
        <v>10</v>
      </c>
      <c r="D164" s="52" t="s">
        <v>11</v>
      </c>
      <c r="E164" s="52" t="s">
        <v>12</v>
      </c>
      <c r="F164" s="54" t="s">
        <v>13</v>
      </c>
      <c r="G164" s="55" t="s">
        <v>14</v>
      </c>
    </row>
    <row r="165" spans="1:7" ht="15.75" x14ac:dyDescent="0.25">
      <c r="A165" s="14">
        <v>1</v>
      </c>
      <c r="B165" s="14">
        <v>2</v>
      </c>
      <c r="C165" s="14">
        <v>3</v>
      </c>
      <c r="D165" s="14">
        <v>4</v>
      </c>
      <c r="E165" s="15">
        <v>5</v>
      </c>
      <c r="F165" s="14">
        <v>6</v>
      </c>
      <c r="G165" s="16">
        <v>7</v>
      </c>
    </row>
    <row r="166" spans="1:7" ht="15.75" x14ac:dyDescent="0.25">
      <c r="A166" s="21" t="s">
        <v>34</v>
      </c>
      <c r="B166" s="21" t="s">
        <v>20</v>
      </c>
      <c r="C166" s="21" t="s">
        <v>18</v>
      </c>
      <c r="D166" s="21" t="s">
        <v>50</v>
      </c>
      <c r="E166" s="22" t="s">
        <v>89</v>
      </c>
      <c r="F166" s="20"/>
      <c r="G166" s="23" t="s">
        <v>86</v>
      </c>
    </row>
    <row r="167" spans="1:7" ht="15.75" x14ac:dyDescent="0.25">
      <c r="A167" s="24" t="s">
        <v>125</v>
      </c>
      <c r="B167" s="24" t="s">
        <v>50</v>
      </c>
      <c r="C167" s="24" t="s">
        <v>57</v>
      </c>
      <c r="D167" s="24" t="s">
        <v>44</v>
      </c>
      <c r="E167" s="25" t="s">
        <v>44</v>
      </c>
      <c r="F167" s="24" t="s">
        <v>21</v>
      </c>
      <c r="G167" s="26" t="s">
        <v>22</v>
      </c>
    </row>
    <row r="168" spans="1:7" ht="15.75" x14ac:dyDescent="0.25">
      <c r="A168" s="20">
        <v>8</v>
      </c>
      <c r="B168" s="14">
        <v>9</v>
      </c>
      <c r="C168" s="14">
        <v>10</v>
      </c>
      <c r="D168" s="56">
        <v>11</v>
      </c>
      <c r="E168" s="15">
        <v>12</v>
      </c>
      <c r="F168" s="14">
        <v>13</v>
      </c>
      <c r="G168" s="16">
        <v>14</v>
      </c>
    </row>
    <row r="169" spans="1:7" ht="15.75" x14ac:dyDescent="0.25">
      <c r="A169" s="21" t="s">
        <v>25</v>
      </c>
      <c r="B169" s="21" t="s">
        <v>125</v>
      </c>
      <c r="C169" s="21" t="s">
        <v>27</v>
      </c>
      <c r="D169" s="21" t="s">
        <v>19</v>
      </c>
      <c r="E169" s="72" t="s">
        <v>89</v>
      </c>
      <c r="F169" s="20"/>
      <c r="G169" s="23" t="s">
        <v>125</v>
      </c>
    </row>
    <row r="170" spans="1:7" ht="15.75" x14ac:dyDescent="0.25">
      <c r="A170" s="72" t="s">
        <v>56</v>
      </c>
      <c r="B170" s="24" t="s">
        <v>21</v>
      </c>
      <c r="C170" s="24" t="s">
        <v>38</v>
      </c>
      <c r="D170" s="24" t="s">
        <v>22</v>
      </c>
      <c r="E170" s="25" t="s">
        <v>21</v>
      </c>
      <c r="F170" s="24" t="s">
        <v>22</v>
      </c>
      <c r="G170" s="26" t="s">
        <v>56</v>
      </c>
    </row>
    <row r="171" spans="1:7" ht="15.75" x14ac:dyDescent="0.25">
      <c r="A171" s="14">
        <v>15</v>
      </c>
      <c r="B171" s="14">
        <v>16</v>
      </c>
      <c r="C171" s="14">
        <v>17</v>
      </c>
      <c r="D171" s="14">
        <v>18</v>
      </c>
      <c r="E171" s="15">
        <v>19</v>
      </c>
      <c r="F171" s="76">
        <v>20</v>
      </c>
      <c r="G171" s="16">
        <v>21</v>
      </c>
    </row>
    <row r="172" spans="1:7" ht="15.75" x14ac:dyDescent="0.25">
      <c r="A172" s="21" t="s">
        <v>26</v>
      </c>
      <c r="B172" s="21" t="s">
        <v>57</v>
      </c>
      <c r="C172" s="21" t="s">
        <v>17</v>
      </c>
      <c r="D172" s="21" t="s">
        <v>34</v>
      </c>
      <c r="E172" s="22" t="s">
        <v>19</v>
      </c>
      <c r="F172" s="79" t="s">
        <v>57</v>
      </c>
      <c r="G172" s="23" t="s">
        <v>19</v>
      </c>
    </row>
    <row r="173" spans="1:7" ht="15.75" x14ac:dyDescent="0.25">
      <c r="A173" s="24" t="s">
        <v>39</v>
      </c>
      <c r="B173" s="24" t="s">
        <v>41</v>
      </c>
      <c r="C173" s="24" t="s">
        <v>40</v>
      </c>
      <c r="D173" s="24" t="s">
        <v>56</v>
      </c>
      <c r="E173" s="25" t="s">
        <v>22</v>
      </c>
      <c r="F173" s="80"/>
      <c r="G173" s="26" t="s">
        <v>40</v>
      </c>
    </row>
    <row r="174" spans="1:7" ht="15.75" x14ac:dyDescent="0.25">
      <c r="A174" s="14">
        <v>22</v>
      </c>
      <c r="B174" s="42">
        <v>23</v>
      </c>
      <c r="C174" s="58">
        <v>24</v>
      </c>
      <c r="D174" s="14">
        <v>25</v>
      </c>
      <c r="E174" s="15">
        <v>26</v>
      </c>
      <c r="F174" s="14">
        <v>27</v>
      </c>
      <c r="G174" s="16">
        <v>28</v>
      </c>
    </row>
    <row r="175" spans="1:7" ht="15.75" x14ac:dyDescent="0.25">
      <c r="A175" s="21" t="s">
        <v>50</v>
      </c>
      <c r="B175" s="45"/>
      <c r="C175" s="60" t="s">
        <v>125</v>
      </c>
      <c r="D175" s="21" t="s">
        <v>18</v>
      </c>
      <c r="E175" s="22" t="s">
        <v>125</v>
      </c>
      <c r="F175" s="20"/>
      <c r="G175" s="23" t="s">
        <v>118</v>
      </c>
    </row>
    <row r="176" spans="1:7" ht="15.75" x14ac:dyDescent="0.25">
      <c r="A176" s="24" t="s">
        <v>125</v>
      </c>
      <c r="B176" s="47" t="s">
        <v>38</v>
      </c>
      <c r="C176" s="66" t="s">
        <v>38</v>
      </c>
      <c r="D176" s="24" t="s">
        <v>50</v>
      </c>
      <c r="E176" s="25" t="s">
        <v>38</v>
      </c>
      <c r="F176" s="24" t="s">
        <v>56</v>
      </c>
      <c r="G176" s="26" t="s">
        <v>57</v>
      </c>
    </row>
    <row r="177" spans="1:7" ht="15.75" x14ac:dyDescent="0.25">
      <c r="A177" s="14">
        <v>29</v>
      </c>
      <c r="B177" s="14">
        <v>30</v>
      </c>
    </row>
    <row r="178" spans="1:7" ht="15.75" x14ac:dyDescent="0.25">
      <c r="A178" s="21" t="s">
        <v>20</v>
      </c>
      <c r="B178" s="21" t="s">
        <v>125</v>
      </c>
      <c r="G178" s="90"/>
    </row>
    <row r="179" spans="1:7" ht="15.75" x14ac:dyDescent="0.25">
      <c r="A179" s="65" t="s">
        <v>57</v>
      </c>
      <c r="B179" s="24" t="s">
        <v>44</v>
      </c>
    </row>
    <row r="182" spans="1:7" ht="15.75" x14ac:dyDescent="0.25">
      <c r="A182" s="13"/>
      <c r="B182" s="13"/>
    </row>
    <row r="183" spans="1:7" ht="15.75" x14ac:dyDescent="0.25">
      <c r="A183" s="13"/>
      <c r="B183" s="13"/>
    </row>
    <row r="184" spans="1:7" ht="15.75" x14ac:dyDescent="0.25">
      <c r="A184" s="49">
        <v>46204</v>
      </c>
      <c r="B184" s="50"/>
      <c r="C184" s="50"/>
      <c r="D184" s="50"/>
      <c r="E184" s="50"/>
      <c r="F184" s="51"/>
      <c r="G184" s="50"/>
    </row>
    <row r="185" spans="1:7" ht="15.75" x14ac:dyDescent="0.25">
      <c r="A185" s="52" t="s">
        <v>8</v>
      </c>
      <c r="B185" s="52" t="s">
        <v>9</v>
      </c>
      <c r="C185" s="52" t="s">
        <v>10</v>
      </c>
      <c r="D185" s="52" t="s">
        <v>11</v>
      </c>
      <c r="E185" s="52" t="s">
        <v>12</v>
      </c>
      <c r="F185" s="54" t="s">
        <v>13</v>
      </c>
      <c r="G185" s="55" t="s">
        <v>14</v>
      </c>
    </row>
    <row r="186" spans="1:7" ht="15.75" x14ac:dyDescent="0.25">
      <c r="A186" s="14"/>
      <c r="B186" s="14"/>
      <c r="C186" s="14">
        <v>1</v>
      </c>
      <c r="D186" s="14">
        <v>2</v>
      </c>
      <c r="E186" s="15">
        <v>3</v>
      </c>
      <c r="F186" s="14">
        <v>4</v>
      </c>
      <c r="G186" s="16">
        <v>5</v>
      </c>
    </row>
    <row r="187" spans="1:7" ht="15.75" x14ac:dyDescent="0.25">
      <c r="A187" s="20"/>
      <c r="B187" s="20"/>
      <c r="C187" s="21" t="s">
        <v>25</v>
      </c>
      <c r="D187" s="21" t="s">
        <v>27</v>
      </c>
      <c r="E187" s="22" t="s">
        <v>50</v>
      </c>
      <c r="F187" s="20"/>
      <c r="G187" s="23" t="s">
        <v>72</v>
      </c>
    </row>
    <row r="188" spans="1:7" ht="15.75" x14ac:dyDescent="0.25">
      <c r="A188" s="24"/>
      <c r="B188" s="24"/>
      <c r="C188" s="72" t="s">
        <v>125</v>
      </c>
      <c r="D188" s="24" t="s">
        <v>21</v>
      </c>
      <c r="E188" s="25" t="s">
        <v>39</v>
      </c>
      <c r="F188" s="24" t="s">
        <v>57</v>
      </c>
      <c r="G188" s="26" t="s">
        <v>41</v>
      </c>
    </row>
    <row r="189" spans="1:7" ht="15.75" x14ac:dyDescent="0.25">
      <c r="A189" s="20">
        <v>6</v>
      </c>
      <c r="B189" s="14">
        <v>7</v>
      </c>
      <c r="C189" s="14">
        <v>8</v>
      </c>
      <c r="D189" s="56">
        <v>9</v>
      </c>
      <c r="E189" s="15">
        <v>10</v>
      </c>
      <c r="F189" s="14">
        <v>11</v>
      </c>
      <c r="G189" s="16">
        <v>12</v>
      </c>
    </row>
    <row r="190" spans="1:7" ht="15.75" x14ac:dyDescent="0.25">
      <c r="A190" s="21" t="s">
        <v>19</v>
      </c>
      <c r="B190" s="21" t="s">
        <v>57</v>
      </c>
      <c r="C190" s="21" t="s">
        <v>26</v>
      </c>
      <c r="D190" s="21" t="s">
        <v>17</v>
      </c>
      <c r="E190" s="22" t="s">
        <v>57</v>
      </c>
      <c r="F190" s="20"/>
      <c r="G190" s="23" t="s">
        <v>88</v>
      </c>
    </row>
    <row r="191" spans="1:7" ht="15.75" x14ac:dyDescent="0.25">
      <c r="A191" s="24" t="s">
        <v>22</v>
      </c>
      <c r="B191" s="24" t="s">
        <v>77</v>
      </c>
      <c r="C191" s="24" t="s">
        <v>39</v>
      </c>
      <c r="D191" s="24" t="s">
        <v>40</v>
      </c>
      <c r="E191" s="25" t="s">
        <v>40</v>
      </c>
      <c r="F191" s="24" t="s">
        <v>50</v>
      </c>
      <c r="G191" s="26" t="s">
        <v>44</v>
      </c>
    </row>
    <row r="192" spans="1:7" ht="15.75" x14ac:dyDescent="0.25">
      <c r="A192" s="14">
        <v>13</v>
      </c>
      <c r="B192" s="14">
        <v>14</v>
      </c>
      <c r="C192" s="14">
        <v>15</v>
      </c>
      <c r="D192" s="14">
        <v>16</v>
      </c>
      <c r="E192" s="15">
        <v>17</v>
      </c>
      <c r="F192" s="14">
        <v>18</v>
      </c>
      <c r="G192" s="16">
        <v>19</v>
      </c>
    </row>
    <row r="193" spans="1:7" ht="15.75" x14ac:dyDescent="0.25">
      <c r="A193" s="21" t="s">
        <v>34</v>
      </c>
      <c r="B193" s="21" t="s">
        <v>50</v>
      </c>
      <c r="C193" s="21" t="s">
        <v>18</v>
      </c>
      <c r="D193" s="21" t="s">
        <v>20</v>
      </c>
      <c r="E193" s="91" t="s">
        <v>79</v>
      </c>
      <c r="F193" s="20"/>
      <c r="G193" s="23" t="s">
        <v>87</v>
      </c>
    </row>
    <row r="194" spans="1:7" ht="15.75" x14ac:dyDescent="0.25">
      <c r="A194" s="24" t="s">
        <v>41</v>
      </c>
      <c r="B194" s="24" t="s">
        <v>56</v>
      </c>
      <c r="C194" s="24" t="s">
        <v>125</v>
      </c>
      <c r="D194" s="24" t="s">
        <v>36</v>
      </c>
      <c r="E194" s="22" t="s">
        <v>41</v>
      </c>
      <c r="F194" s="24" t="s">
        <v>125</v>
      </c>
      <c r="G194" s="26" t="s">
        <v>50</v>
      </c>
    </row>
    <row r="195" spans="1:7" ht="15.75" x14ac:dyDescent="0.25">
      <c r="A195" s="14">
        <v>20</v>
      </c>
      <c r="B195" s="14">
        <v>21</v>
      </c>
      <c r="C195" s="14">
        <v>22</v>
      </c>
      <c r="D195" s="14">
        <v>23</v>
      </c>
      <c r="E195" s="15">
        <v>24</v>
      </c>
      <c r="F195" s="14">
        <v>25</v>
      </c>
      <c r="G195" s="16">
        <v>26</v>
      </c>
    </row>
    <row r="196" spans="1:7" ht="15.75" x14ac:dyDescent="0.25">
      <c r="A196" s="21" t="s">
        <v>125</v>
      </c>
      <c r="B196" s="21" t="s">
        <v>106</v>
      </c>
      <c r="C196" s="21" t="s">
        <v>27</v>
      </c>
      <c r="D196" s="21" t="s">
        <v>19</v>
      </c>
      <c r="E196" s="22" t="s">
        <v>84</v>
      </c>
      <c r="F196" s="20"/>
      <c r="G196" s="23" t="s">
        <v>89</v>
      </c>
    </row>
    <row r="197" spans="1:7" ht="15.75" x14ac:dyDescent="0.25">
      <c r="A197" s="24" t="s">
        <v>57</v>
      </c>
      <c r="B197" s="24" t="s">
        <v>44</v>
      </c>
      <c r="C197" s="72" t="s">
        <v>36</v>
      </c>
      <c r="D197" s="24" t="s">
        <v>21</v>
      </c>
      <c r="E197" s="25" t="s">
        <v>56</v>
      </c>
      <c r="F197" s="24" t="s">
        <v>38</v>
      </c>
      <c r="G197" s="26" t="s">
        <v>39</v>
      </c>
    </row>
    <row r="198" spans="1:7" ht="15.75" x14ac:dyDescent="0.25">
      <c r="A198" s="14">
        <v>27</v>
      </c>
      <c r="B198" s="14">
        <v>28</v>
      </c>
      <c r="C198" s="14">
        <v>29</v>
      </c>
      <c r="D198" s="14">
        <v>30</v>
      </c>
      <c r="E198" s="15">
        <v>31</v>
      </c>
      <c r="G198" s="30"/>
    </row>
    <row r="199" spans="1:7" ht="15.75" x14ac:dyDescent="0.25">
      <c r="A199" s="21" t="s">
        <v>26</v>
      </c>
      <c r="B199" s="21" t="s">
        <v>57</v>
      </c>
      <c r="C199" s="21" t="s">
        <v>17</v>
      </c>
      <c r="D199" s="21" t="s">
        <v>34</v>
      </c>
      <c r="E199" s="22" t="s">
        <v>85</v>
      </c>
      <c r="G199" s="30"/>
    </row>
    <row r="200" spans="1:7" ht="15.75" x14ac:dyDescent="0.25">
      <c r="A200" s="65" t="s">
        <v>22</v>
      </c>
      <c r="B200" s="65" t="s">
        <v>128</v>
      </c>
      <c r="C200" s="65" t="s">
        <v>38</v>
      </c>
      <c r="D200" s="65" t="s">
        <v>40</v>
      </c>
      <c r="E200" s="25" t="s">
        <v>125</v>
      </c>
    </row>
    <row r="201" spans="1:7" ht="15.75" x14ac:dyDescent="0.25">
      <c r="F201" s="1"/>
    </row>
    <row r="202" spans="1:7" ht="15.75" x14ac:dyDescent="0.25">
      <c r="F202" s="1"/>
    </row>
    <row r="203" spans="1:7" ht="15.75" x14ac:dyDescent="0.25">
      <c r="A203" s="7">
        <v>46235</v>
      </c>
      <c r="B203" s="50"/>
      <c r="C203" s="50"/>
      <c r="D203" s="50"/>
      <c r="E203" s="50"/>
      <c r="F203" s="51"/>
      <c r="G203" s="50"/>
    </row>
    <row r="204" spans="1:7" ht="15.75" x14ac:dyDescent="0.25">
      <c r="A204" s="52" t="s">
        <v>8</v>
      </c>
      <c r="B204" s="52" t="s">
        <v>9</v>
      </c>
      <c r="C204" s="52" t="s">
        <v>10</v>
      </c>
      <c r="D204" s="52" t="s">
        <v>11</v>
      </c>
      <c r="E204" s="52" t="s">
        <v>12</v>
      </c>
      <c r="F204" s="54" t="s">
        <v>13</v>
      </c>
      <c r="G204" s="55" t="s">
        <v>14</v>
      </c>
    </row>
    <row r="205" spans="1:7" ht="15.75" x14ac:dyDescent="0.25">
      <c r="A205" s="14"/>
      <c r="B205" s="14"/>
      <c r="C205" s="14"/>
      <c r="D205" s="14"/>
      <c r="E205" s="14"/>
      <c r="F205" s="14">
        <v>1</v>
      </c>
      <c r="G205" s="16">
        <v>2</v>
      </c>
    </row>
    <row r="206" spans="1:7" ht="15.75" x14ac:dyDescent="0.25">
      <c r="A206" s="20"/>
      <c r="B206" s="20"/>
      <c r="C206" s="20"/>
      <c r="D206" s="20"/>
      <c r="E206" s="20"/>
      <c r="F206" s="20"/>
      <c r="G206" s="23" t="s">
        <v>52</v>
      </c>
    </row>
    <row r="207" spans="1:7" ht="15.75" x14ac:dyDescent="0.25">
      <c r="A207" s="24"/>
      <c r="B207" s="24"/>
      <c r="C207" s="24"/>
      <c r="D207" s="24"/>
      <c r="E207" s="24"/>
      <c r="F207" s="24" t="s">
        <v>39</v>
      </c>
      <c r="G207" s="26" t="s">
        <v>21</v>
      </c>
    </row>
    <row r="208" spans="1:7" ht="15.75" x14ac:dyDescent="0.25">
      <c r="A208" s="20">
        <v>3</v>
      </c>
      <c r="B208" s="14">
        <v>4</v>
      </c>
      <c r="C208" s="14">
        <v>5</v>
      </c>
      <c r="D208" s="56">
        <v>6</v>
      </c>
      <c r="E208" s="15">
        <v>7</v>
      </c>
      <c r="F208" s="14">
        <v>8</v>
      </c>
      <c r="G208" s="16">
        <v>9</v>
      </c>
    </row>
    <row r="209" spans="1:17" ht="15.75" x14ac:dyDescent="0.25">
      <c r="A209" s="21" t="s">
        <v>36</v>
      </c>
      <c r="B209" s="21" t="s">
        <v>18</v>
      </c>
      <c r="C209" s="21" t="s">
        <v>20</v>
      </c>
      <c r="D209" s="21" t="s">
        <v>125</v>
      </c>
      <c r="E209" s="22" t="s">
        <v>86</v>
      </c>
      <c r="F209" s="20"/>
      <c r="G209" s="23" t="s">
        <v>53</v>
      </c>
    </row>
    <row r="210" spans="1:17" ht="15.75" x14ac:dyDescent="0.25">
      <c r="A210" s="65" t="s">
        <v>41</v>
      </c>
      <c r="B210" s="65" t="s">
        <v>56</v>
      </c>
      <c r="C210" s="65" t="s">
        <v>125</v>
      </c>
      <c r="D210" s="65" t="s">
        <v>36</v>
      </c>
      <c r="E210" s="25" t="s">
        <v>36</v>
      </c>
      <c r="F210" s="24" t="s">
        <v>40</v>
      </c>
      <c r="G210" s="26" t="s">
        <v>125</v>
      </c>
      <c r="I210" s="41" t="s">
        <v>129</v>
      </c>
      <c r="J210" s="41"/>
      <c r="K210" s="41"/>
      <c r="L210" s="41"/>
      <c r="M210" s="41"/>
      <c r="N210" s="41"/>
      <c r="O210" s="41"/>
      <c r="P210" s="41"/>
      <c r="Q210" s="41"/>
    </row>
    <row r="211" spans="1:17" ht="15.75" x14ac:dyDescent="0.25">
      <c r="A211" s="14">
        <v>10</v>
      </c>
      <c r="B211" s="14">
        <v>11</v>
      </c>
      <c r="C211" s="14">
        <v>12</v>
      </c>
      <c r="D211" s="14">
        <v>13</v>
      </c>
      <c r="E211" s="42">
        <v>14</v>
      </c>
      <c r="F211" s="58">
        <v>15</v>
      </c>
      <c r="G211" s="16">
        <v>16</v>
      </c>
    </row>
    <row r="212" spans="1:17" ht="15.75" x14ac:dyDescent="0.25">
      <c r="A212" s="21" t="s">
        <v>106</v>
      </c>
      <c r="B212" s="21" t="s">
        <v>27</v>
      </c>
      <c r="C212" s="21" t="s">
        <v>19</v>
      </c>
      <c r="D212" s="21" t="s">
        <v>26</v>
      </c>
      <c r="E212" s="45" t="s">
        <v>18</v>
      </c>
      <c r="F212" s="60" t="s">
        <v>125</v>
      </c>
      <c r="G212" s="23" t="s">
        <v>54</v>
      </c>
    </row>
    <row r="213" spans="1:17" ht="15.75" x14ac:dyDescent="0.25">
      <c r="A213" s="65" t="s">
        <v>57</v>
      </c>
      <c r="B213" s="65" t="s">
        <v>44</v>
      </c>
      <c r="C213" s="72" t="s">
        <v>57</v>
      </c>
      <c r="D213" s="64" t="s">
        <v>21</v>
      </c>
      <c r="E213" s="47" t="s">
        <v>39</v>
      </c>
      <c r="F213" s="66" t="s">
        <v>39</v>
      </c>
      <c r="G213" s="26" t="s">
        <v>38</v>
      </c>
    </row>
    <row r="214" spans="1:17" ht="15.75" x14ac:dyDescent="0.25">
      <c r="A214" s="14">
        <v>17</v>
      </c>
      <c r="B214" s="14">
        <v>18</v>
      </c>
      <c r="C214" s="14">
        <v>19</v>
      </c>
      <c r="D214" s="14">
        <v>20</v>
      </c>
      <c r="E214" s="15">
        <v>21</v>
      </c>
      <c r="F214" s="14">
        <v>22</v>
      </c>
      <c r="G214" s="16">
        <v>23</v>
      </c>
    </row>
    <row r="215" spans="1:17" ht="15.75" x14ac:dyDescent="0.25">
      <c r="A215" s="21" t="s">
        <v>86</v>
      </c>
      <c r="B215" s="21" t="s">
        <v>115</v>
      </c>
      <c r="C215" s="21" t="s">
        <v>116</v>
      </c>
      <c r="D215" s="21" t="s">
        <v>87</v>
      </c>
      <c r="E215" s="22" t="s">
        <v>89</v>
      </c>
      <c r="F215" s="20"/>
      <c r="G215" s="23" t="s">
        <v>55</v>
      </c>
    </row>
    <row r="216" spans="1:17" ht="15.75" x14ac:dyDescent="0.25">
      <c r="A216" s="65" t="s">
        <v>22</v>
      </c>
      <c r="B216" s="65" t="s">
        <v>77</v>
      </c>
      <c r="C216" s="65" t="s">
        <v>39</v>
      </c>
      <c r="D216" s="65" t="s">
        <v>40</v>
      </c>
      <c r="E216" s="25" t="s">
        <v>57</v>
      </c>
      <c r="F216" s="24" t="s">
        <v>41</v>
      </c>
      <c r="G216" s="26" t="s">
        <v>22</v>
      </c>
    </row>
    <row r="217" spans="1:17" ht="15.75" x14ac:dyDescent="0.25">
      <c r="A217" s="14">
        <v>24</v>
      </c>
      <c r="B217" s="14">
        <v>25</v>
      </c>
      <c r="C217" s="14">
        <v>26</v>
      </c>
      <c r="D217" s="14">
        <v>27</v>
      </c>
      <c r="E217" s="15">
        <v>28</v>
      </c>
      <c r="F217" s="14">
        <v>29</v>
      </c>
      <c r="G217" s="16">
        <v>30</v>
      </c>
    </row>
    <row r="218" spans="1:17" ht="15.75" x14ac:dyDescent="0.25">
      <c r="A218" s="21" t="s">
        <v>18</v>
      </c>
      <c r="B218" s="21" t="s">
        <v>117</v>
      </c>
      <c r="C218" s="21" t="s">
        <v>84</v>
      </c>
      <c r="D218" s="21" t="s">
        <v>118</v>
      </c>
      <c r="E218" s="22" t="s">
        <v>88</v>
      </c>
      <c r="F218" s="20"/>
      <c r="G218" s="92" t="s">
        <v>125</v>
      </c>
    </row>
    <row r="219" spans="1:17" ht="15.75" x14ac:dyDescent="0.25">
      <c r="A219" s="65" t="s">
        <v>41</v>
      </c>
      <c r="B219" s="65" t="s">
        <v>56</v>
      </c>
      <c r="C219" s="65" t="s">
        <v>36</v>
      </c>
      <c r="D219" s="65" t="s">
        <v>125</v>
      </c>
      <c r="E219" s="25" t="s">
        <v>52</v>
      </c>
      <c r="F219" s="24" t="s">
        <v>44</v>
      </c>
      <c r="G219" s="26" t="s">
        <v>56</v>
      </c>
    </row>
    <row r="220" spans="1:17" ht="15.75" x14ac:dyDescent="0.25">
      <c r="A220" s="14">
        <v>31</v>
      </c>
      <c r="B220" s="13"/>
      <c r="C220" s="13"/>
      <c r="D220" s="13"/>
      <c r="E220" s="13"/>
      <c r="F220" s="1"/>
      <c r="G220" s="13"/>
    </row>
    <row r="221" spans="1:17" ht="15.75" x14ac:dyDescent="0.25">
      <c r="A221" s="21" t="s">
        <v>88</v>
      </c>
      <c r="B221" s="19"/>
      <c r="C221" s="1"/>
      <c r="D221" s="1"/>
      <c r="E221" s="1"/>
      <c r="F221" s="1"/>
      <c r="G221" s="13"/>
    </row>
    <row r="222" spans="1:17" ht="15.75" x14ac:dyDescent="0.25">
      <c r="A222" s="65" t="s">
        <v>57</v>
      </c>
      <c r="B222" s="13"/>
      <c r="C222" s="13"/>
      <c r="D222" s="13"/>
      <c r="E222" s="13"/>
      <c r="F222" s="1"/>
      <c r="G222" s="13"/>
    </row>
    <row r="223" spans="1:17" ht="15.75" x14ac:dyDescent="0.25">
      <c r="A223" s="13"/>
      <c r="B223" s="13"/>
      <c r="C223" s="13"/>
      <c r="D223" s="13"/>
      <c r="E223" s="13"/>
      <c r="F223" s="1"/>
      <c r="G223" s="13"/>
    </row>
    <row r="224" spans="1:17" ht="15.75" x14ac:dyDescent="0.25">
      <c r="A224" s="13"/>
      <c r="B224" s="13"/>
      <c r="C224" s="13"/>
      <c r="D224" s="13"/>
      <c r="E224" s="13"/>
      <c r="F224" s="1"/>
      <c r="G224" s="13"/>
    </row>
    <row r="225" spans="1:7" ht="15.75" x14ac:dyDescent="0.25">
      <c r="F225" s="1"/>
    </row>
    <row r="226" spans="1:7" ht="15.75" x14ac:dyDescent="0.25">
      <c r="A226" s="7">
        <v>46266</v>
      </c>
      <c r="F226" s="1"/>
    </row>
    <row r="227" spans="1:7" ht="15.75" x14ac:dyDescent="0.25">
      <c r="A227" s="52" t="s">
        <v>8</v>
      </c>
      <c r="B227" s="52" t="s">
        <v>9</v>
      </c>
      <c r="C227" s="52" t="s">
        <v>10</v>
      </c>
      <c r="D227" s="52" t="s">
        <v>11</v>
      </c>
      <c r="E227" s="52" t="s">
        <v>12</v>
      </c>
      <c r="F227" s="54" t="s">
        <v>13</v>
      </c>
      <c r="G227" s="55" t="s">
        <v>14</v>
      </c>
    </row>
    <row r="228" spans="1:7" ht="15.75" x14ac:dyDescent="0.25">
      <c r="A228" s="14"/>
      <c r="B228" s="14">
        <v>1</v>
      </c>
      <c r="C228" s="14">
        <v>2</v>
      </c>
      <c r="D228" s="14">
        <v>3</v>
      </c>
      <c r="E228" s="15">
        <v>4</v>
      </c>
      <c r="F228" s="14">
        <v>5</v>
      </c>
      <c r="G228" s="16">
        <v>6</v>
      </c>
    </row>
    <row r="229" spans="1:7" ht="15.75" x14ac:dyDescent="0.25">
      <c r="A229" s="20"/>
      <c r="B229" s="21" t="s">
        <v>125</v>
      </c>
      <c r="C229" s="21" t="s">
        <v>26</v>
      </c>
      <c r="D229" s="21" t="s">
        <v>111</v>
      </c>
      <c r="E229" s="22" t="s">
        <v>87</v>
      </c>
      <c r="F229" s="20"/>
      <c r="G229" s="23" t="s">
        <v>79</v>
      </c>
    </row>
    <row r="230" spans="1:7" ht="15.75" x14ac:dyDescent="0.25">
      <c r="A230" s="24"/>
      <c r="B230" s="24" t="s">
        <v>52</v>
      </c>
      <c r="C230" s="24" t="s">
        <v>53</v>
      </c>
      <c r="D230" s="24" t="s">
        <v>54</v>
      </c>
      <c r="E230" s="25" t="s">
        <v>53</v>
      </c>
      <c r="F230" s="24" t="s">
        <v>52</v>
      </c>
      <c r="G230" s="26" t="s">
        <v>41</v>
      </c>
    </row>
    <row r="231" spans="1:7" ht="15.75" x14ac:dyDescent="0.25">
      <c r="A231" s="20">
        <v>7</v>
      </c>
      <c r="B231" s="14">
        <v>8</v>
      </c>
      <c r="C231" s="14">
        <v>9</v>
      </c>
      <c r="D231" s="93">
        <v>10</v>
      </c>
      <c r="E231" s="58">
        <v>11</v>
      </c>
      <c r="F231" s="76">
        <v>12</v>
      </c>
      <c r="G231" s="16">
        <v>13</v>
      </c>
    </row>
    <row r="232" spans="1:7" ht="15.75" x14ac:dyDescent="0.25">
      <c r="A232" s="21" t="s">
        <v>89</v>
      </c>
      <c r="B232" s="21" t="s">
        <v>113</v>
      </c>
      <c r="C232" s="21" t="s">
        <v>19</v>
      </c>
      <c r="D232" s="94" t="s">
        <v>57</v>
      </c>
      <c r="E232" s="60" t="s">
        <v>19</v>
      </c>
      <c r="F232" s="79"/>
      <c r="G232" s="23" t="s">
        <v>84</v>
      </c>
    </row>
    <row r="233" spans="1:7" ht="15.75" x14ac:dyDescent="0.25">
      <c r="A233" s="24" t="s">
        <v>55</v>
      </c>
      <c r="B233" s="24" t="s">
        <v>44</v>
      </c>
      <c r="C233" s="72" t="s">
        <v>44</v>
      </c>
      <c r="D233" s="47" t="s">
        <v>41</v>
      </c>
      <c r="E233" s="66" t="s">
        <v>41</v>
      </c>
      <c r="F233" s="80"/>
      <c r="G233" s="26" t="s">
        <v>57</v>
      </c>
    </row>
    <row r="234" spans="1:7" ht="15.75" x14ac:dyDescent="0.25">
      <c r="A234" s="14">
        <v>14</v>
      </c>
      <c r="B234" s="14">
        <v>15</v>
      </c>
      <c r="C234" s="14">
        <v>16</v>
      </c>
      <c r="D234" s="14">
        <v>17</v>
      </c>
      <c r="E234" s="15">
        <v>18</v>
      </c>
      <c r="F234" s="14">
        <v>19</v>
      </c>
      <c r="G234" s="16">
        <v>20</v>
      </c>
    </row>
    <row r="235" spans="1:7" ht="15.75" x14ac:dyDescent="0.25">
      <c r="A235" s="81" t="s">
        <v>86</v>
      </c>
      <c r="B235" s="81" t="s">
        <v>115</v>
      </c>
      <c r="C235" s="21" t="s">
        <v>57</v>
      </c>
      <c r="D235" s="95" t="s">
        <v>85</v>
      </c>
      <c r="E235" s="72" t="s">
        <v>19</v>
      </c>
      <c r="F235" s="20"/>
      <c r="G235" s="23" t="s">
        <v>86</v>
      </c>
    </row>
    <row r="236" spans="1:7" ht="15.75" x14ac:dyDescent="0.25">
      <c r="A236" s="24" t="s">
        <v>21</v>
      </c>
      <c r="B236" s="24" t="s">
        <v>22</v>
      </c>
      <c r="C236" s="24" t="s">
        <v>38</v>
      </c>
      <c r="D236" s="24" t="s">
        <v>39</v>
      </c>
      <c r="E236" s="25" t="s">
        <v>54</v>
      </c>
      <c r="F236" s="24" t="s">
        <v>53</v>
      </c>
      <c r="G236" s="26" t="s">
        <v>40</v>
      </c>
    </row>
    <row r="237" spans="1:7" ht="15.75" x14ac:dyDescent="0.25">
      <c r="A237" s="14">
        <v>21</v>
      </c>
      <c r="B237" s="14">
        <v>22</v>
      </c>
      <c r="C237" s="42">
        <v>23</v>
      </c>
      <c r="D237" s="58">
        <v>24</v>
      </c>
      <c r="E237" s="42">
        <v>25</v>
      </c>
      <c r="F237" s="76">
        <v>26</v>
      </c>
      <c r="G237" s="16">
        <v>27</v>
      </c>
    </row>
    <row r="238" spans="1:7" ht="15.75" x14ac:dyDescent="0.25">
      <c r="A238" s="20" t="s">
        <v>87</v>
      </c>
      <c r="B238" s="20" t="s">
        <v>117</v>
      </c>
      <c r="C238" s="77" t="s">
        <v>41</v>
      </c>
      <c r="D238" s="60" t="s">
        <v>17</v>
      </c>
      <c r="E238" s="45"/>
      <c r="F238" s="79"/>
      <c r="G238" s="23" t="s">
        <v>85</v>
      </c>
    </row>
    <row r="239" spans="1:7" ht="15.75" x14ac:dyDescent="0.25">
      <c r="A239" s="24" t="s">
        <v>40</v>
      </c>
      <c r="B239" s="24" t="s">
        <v>41</v>
      </c>
      <c r="C239" s="47" t="s">
        <v>22</v>
      </c>
      <c r="D239" s="66" t="s">
        <v>22</v>
      </c>
      <c r="E239" s="47" t="s">
        <v>125</v>
      </c>
      <c r="F239" s="80" t="s">
        <v>125</v>
      </c>
      <c r="G239" s="26" t="s">
        <v>44</v>
      </c>
    </row>
    <row r="240" spans="1:7" ht="15.75" x14ac:dyDescent="0.25">
      <c r="A240" s="14">
        <v>28</v>
      </c>
      <c r="B240" s="14">
        <v>29</v>
      </c>
      <c r="C240" s="14">
        <v>30</v>
      </c>
      <c r="D240" s="13"/>
      <c r="E240" s="13"/>
      <c r="F240" s="13"/>
      <c r="G240" s="13"/>
    </row>
    <row r="241" spans="1:7" ht="15.75" x14ac:dyDescent="0.25">
      <c r="A241" s="81" t="s">
        <v>118</v>
      </c>
      <c r="B241" s="21" t="s">
        <v>84</v>
      </c>
      <c r="C241" s="21" t="s">
        <v>88</v>
      </c>
      <c r="D241" s="13"/>
      <c r="E241" s="13"/>
      <c r="F241" s="13"/>
      <c r="G241" s="13"/>
    </row>
    <row r="242" spans="1:7" ht="15.75" x14ac:dyDescent="0.25">
      <c r="A242" s="24" t="s">
        <v>56</v>
      </c>
      <c r="B242" s="24" t="s">
        <v>125</v>
      </c>
      <c r="C242" s="24" t="s">
        <v>36</v>
      </c>
      <c r="D242" s="13"/>
      <c r="E242" s="13"/>
      <c r="F242" s="13"/>
      <c r="G242" s="13"/>
    </row>
    <row r="243" spans="1:7" ht="15.75" x14ac:dyDescent="0.25">
      <c r="F243" s="1"/>
    </row>
    <row r="245" spans="1:7" x14ac:dyDescent="0.2">
      <c r="B245" t="s">
        <v>130</v>
      </c>
      <c r="C245" t="s">
        <v>131</v>
      </c>
      <c r="D245" t="s">
        <v>132</v>
      </c>
    </row>
    <row r="246" spans="1:7" x14ac:dyDescent="0.2">
      <c r="A246" s="19"/>
      <c r="D246" t="s">
        <v>133</v>
      </c>
    </row>
    <row r="247" spans="1:7" x14ac:dyDescent="0.2">
      <c r="D247" t="s">
        <v>134</v>
      </c>
    </row>
    <row r="248" spans="1:7" x14ac:dyDescent="0.2">
      <c r="D248" t="s">
        <v>135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51"/>
  <sheetViews>
    <sheetView tabSelected="1" zoomScale="85" zoomScaleNormal="85" workbookViewId="0">
      <selection activeCell="G20" sqref="G20"/>
    </sheetView>
  </sheetViews>
  <sheetFormatPr defaultColWidth="8.5546875" defaultRowHeight="15.75" customHeight="1" x14ac:dyDescent="0.25"/>
  <cols>
    <col min="1" max="1" width="14.21875" style="30" customWidth="1"/>
    <col min="2" max="2" width="14.109375" style="30" customWidth="1"/>
    <col min="3" max="3" width="14.77734375" style="30" customWidth="1"/>
    <col min="4" max="4" width="13.21875" style="30" customWidth="1"/>
    <col min="5" max="5" width="12.33203125" style="30" customWidth="1"/>
    <col min="6" max="6" width="12.77734375" style="30" customWidth="1"/>
    <col min="7" max="7" width="15" style="30" customWidth="1"/>
    <col min="8" max="10" width="8.88671875" customWidth="1"/>
    <col min="11" max="11" width="38.77734375" customWidth="1"/>
    <col min="12" max="12" width="10.6640625" customWidth="1"/>
    <col min="13" max="1025" width="8.88671875" customWidth="1"/>
  </cols>
  <sheetData>
    <row r="1" spans="1:34" x14ac:dyDescent="0.25">
      <c r="F1" s="1"/>
      <c r="M1" s="96"/>
      <c r="N1" s="96"/>
      <c r="O1" s="96"/>
      <c r="P1" s="96"/>
      <c r="Q1" s="96"/>
    </row>
    <row r="2" spans="1:34" x14ac:dyDescent="0.25">
      <c r="K2" s="19" t="s">
        <v>136</v>
      </c>
      <c r="M2" s="30"/>
      <c r="N2" s="28"/>
      <c r="O2" s="28"/>
    </row>
    <row r="3" spans="1:34" x14ac:dyDescent="0.25">
      <c r="M3" s="97"/>
      <c r="N3" s="28"/>
      <c r="O3" s="28"/>
      <c r="Q3" s="6"/>
      <c r="R3" s="6"/>
    </row>
    <row r="4" spans="1:34" x14ac:dyDescent="0.25">
      <c r="A4" s="7">
        <v>46296</v>
      </c>
      <c r="F4" s="1"/>
      <c r="M4" s="97"/>
      <c r="N4" s="98"/>
      <c r="O4" s="98"/>
      <c r="Q4" s="6"/>
      <c r="R4" s="6"/>
    </row>
    <row r="5" spans="1:34" x14ac:dyDescent="0.25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10" t="s">
        <v>13</v>
      </c>
      <c r="G5" s="11" t="s">
        <v>14</v>
      </c>
      <c r="K5" s="2" t="s">
        <v>0</v>
      </c>
      <c r="L5" s="2"/>
      <c r="M5" s="2"/>
      <c r="N5" s="2"/>
      <c r="O5" s="2"/>
      <c r="Y5" s="30"/>
      <c r="Z5" s="30"/>
      <c r="AA5" s="30"/>
      <c r="AB5" s="30"/>
      <c r="AC5" s="30"/>
      <c r="AD5" s="30"/>
      <c r="AE5" s="30"/>
      <c r="AF5" s="30"/>
      <c r="AG5" s="30"/>
      <c r="AH5" s="30"/>
    </row>
    <row r="6" spans="1:34" x14ac:dyDescent="0.25">
      <c r="A6" s="13"/>
      <c r="B6" s="14"/>
      <c r="C6" s="14"/>
      <c r="D6" s="14">
        <v>1</v>
      </c>
      <c r="E6" s="15">
        <v>2</v>
      </c>
      <c r="F6" s="14">
        <v>3</v>
      </c>
      <c r="G6" s="16">
        <v>4</v>
      </c>
      <c r="K6" s="3" t="s">
        <v>1</v>
      </c>
      <c r="L6" s="4" t="s">
        <v>137</v>
      </c>
      <c r="M6" s="4" t="s">
        <v>3</v>
      </c>
      <c r="Q6" s="67" t="s">
        <v>138</v>
      </c>
      <c r="Y6" s="30"/>
      <c r="Z6" s="30"/>
      <c r="AA6" s="30"/>
      <c r="AB6" s="30"/>
      <c r="AC6" s="30"/>
      <c r="AD6" s="30"/>
      <c r="AE6" s="30"/>
      <c r="AF6" s="30"/>
      <c r="AG6" s="30"/>
      <c r="AH6" s="30"/>
    </row>
    <row r="7" spans="1:34" x14ac:dyDescent="0.25">
      <c r="A7" s="13"/>
      <c r="B7" s="20"/>
      <c r="C7" s="21"/>
      <c r="D7" s="99" t="s">
        <v>57</v>
      </c>
      <c r="E7" s="100" t="s">
        <v>35</v>
      </c>
      <c r="F7" s="20"/>
      <c r="G7" s="101" t="s">
        <v>35</v>
      </c>
      <c r="K7" s="5" t="s">
        <v>139</v>
      </c>
      <c r="L7" s="4">
        <v>2</v>
      </c>
      <c r="M7" s="4">
        <v>0</v>
      </c>
      <c r="O7" s="6"/>
      <c r="P7" s="6"/>
      <c r="Q7" s="30" t="s">
        <v>140</v>
      </c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 spans="1:34" x14ac:dyDescent="0.25">
      <c r="A8" s="13"/>
      <c r="B8" s="24"/>
      <c r="C8" s="24"/>
      <c r="D8" s="102" t="s">
        <v>29</v>
      </c>
      <c r="E8" s="100" t="s">
        <v>22</v>
      </c>
      <c r="F8" s="24" t="s">
        <v>36</v>
      </c>
      <c r="G8" s="26" t="s">
        <v>124</v>
      </c>
      <c r="K8" s="5" t="s">
        <v>141</v>
      </c>
      <c r="L8" s="103">
        <v>1</v>
      </c>
      <c r="M8" s="103">
        <v>3</v>
      </c>
      <c r="O8" s="6"/>
      <c r="Q8" s="30" t="s">
        <v>142</v>
      </c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x14ac:dyDescent="0.25">
      <c r="A9" s="14">
        <v>5</v>
      </c>
      <c r="B9" s="14">
        <v>6</v>
      </c>
      <c r="C9" s="14">
        <v>7</v>
      </c>
      <c r="D9" s="14">
        <v>8</v>
      </c>
      <c r="E9" s="104">
        <v>9</v>
      </c>
      <c r="F9" s="105">
        <v>10</v>
      </c>
      <c r="G9" s="58">
        <v>11</v>
      </c>
      <c r="K9" s="106" t="s">
        <v>143</v>
      </c>
      <c r="L9" s="4">
        <v>2</v>
      </c>
      <c r="M9" s="4">
        <v>2</v>
      </c>
      <c r="Q9" s="30" t="s">
        <v>144</v>
      </c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x14ac:dyDescent="0.25">
      <c r="A10" s="99" t="s">
        <v>35</v>
      </c>
      <c r="B10" s="99" t="s">
        <v>29</v>
      </c>
      <c r="C10" s="99" t="s">
        <v>36</v>
      </c>
      <c r="D10" s="99" t="s">
        <v>37</v>
      </c>
      <c r="E10" s="107" t="s">
        <v>22</v>
      </c>
      <c r="F10" s="108"/>
      <c r="G10" s="60" t="s">
        <v>145</v>
      </c>
      <c r="K10" s="109" t="s">
        <v>16</v>
      </c>
      <c r="L10" s="18">
        <v>0</v>
      </c>
      <c r="M10" s="4">
        <v>2</v>
      </c>
      <c r="O10" s="19"/>
      <c r="Q10" s="30" t="s">
        <v>146</v>
      </c>
      <c r="R10" s="6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x14ac:dyDescent="0.25">
      <c r="A11" s="102" t="s">
        <v>125</v>
      </c>
      <c r="B11" s="102" t="s">
        <v>39</v>
      </c>
      <c r="C11" s="102" t="s">
        <v>126</v>
      </c>
      <c r="D11" s="102" t="s">
        <v>22</v>
      </c>
      <c r="E11" s="110" t="s">
        <v>126</v>
      </c>
      <c r="F11" s="108" t="s">
        <v>147</v>
      </c>
      <c r="G11" s="66" t="s">
        <v>148</v>
      </c>
      <c r="W11" s="30"/>
      <c r="X11" s="30"/>
      <c r="Y11" s="30"/>
      <c r="Z11" s="30"/>
      <c r="AA11" s="30"/>
    </row>
    <row r="12" spans="1:34" x14ac:dyDescent="0.25">
      <c r="A12" s="58">
        <v>12</v>
      </c>
      <c r="B12" s="20">
        <v>13</v>
      </c>
      <c r="C12" s="14">
        <v>14</v>
      </c>
      <c r="D12" s="14">
        <v>15</v>
      </c>
      <c r="E12" s="15">
        <v>16</v>
      </c>
      <c r="F12" s="14">
        <v>17</v>
      </c>
      <c r="G12" s="16">
        <v>18</v>
      </c>
      <c r="K12" s="111" t="s">
        <v>149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112"/>
    </row>
    <row r="13" spans="1:34" x14ac:dyDescent="0.25">
      <c r="A13" s="60" t="s">
        <v>19</v>
      </c>
      <c r="B13" s="34" t="s">
        <v>21</v>
      </c>
      <c r="C13" s="99" t="s">
        <v>22</v>
      </c>
      <c r="D13" s="99" t="s">
        <v>150</v>
      </c>
      <c r="E13" s="100" t="s">
        <v>29</v>
      </c>
      <c r="F13" s="20"/>
      <c r="G13" s="101" t="s">
        <v>29</v>
      </c>
      <c r="AB13" s="30"/>
      <c r="AC13" s="30"/>
      <c r="AD13" s="30"/>
      <c r="AE13" s="30"/>
    </row>
    <row r="14" spans="1:34" x14ac:dyDescent="0.25">
      <c r="A14" s="78" t="s">
        <v>126</v>
      </c>
      <c r="B14" s="30" t="s">
        <v>56</v>
      </c>
      <c r="C14" s="102" t="s">
        <v>38</v>
      </c>
      <c r="D14" s="102" t="s">
        <v>35</v>
      </c>
      <c r="E14" s="100" t="s">
        <v>126</v>
      </c>
      <c r="F14" s="24" t="s">
        <v>37</v>
      </c>
      <c r="G14" s="26" t="s">
        <v>40</v>
      </c>
      <c r="AB14" s="30"/>
      <c r="AC14" s="30"/>
      <c r="AD14" s="30"/>
      <c r="AE14" s="30"/>
      <c r="AF14" s="30"/>
    </row>
    <row r="15" spans="1:34" x14ac:dyDescent="0.25">
      <c r="A15" s="14">
        <v>19</v>
      </c>
      <c r="B15" s="14">
        <v>20</v>
      </c>
      <c r="C15" s="14">
        <v>21</v>
      </c>
      <c r="D15" s="14">
        <v>22</v>
      </c>
      <c r="E15" s="15">
        <v>23</v>
      </c>
      <c r="F15" s="14">
        <v>24</v>
      </c>
      <c r="G15" s="16">
        <v>25</v>
      </c>
      <c r="K15" s="2" t="s">
        <v>151</v>
      </c>
      <c r="L15" s="2"/>
      <c r="M15" s="2"/>
      <c r="N15" s="2"/>
      <c r="O15" s="2"/>
    </row>
    <row r="16" spans="1:34" x14ac:dyDescent="0.25">
      <c r="A16" s="99" t="s">
        <v>126</v>
      </c>
      <c r="B16" s="99" t="s">
        <v>41</v>
      </c>
      <c r="C16" s="99" t="s">
        <v>39</v>
      </c>
      <c r="D16" s="99" t="s">
        <v>40</v>
      </c>
      <c r="E16" s="100" t="s">
        <v>36</v>
      </c>
      <c r="F16" s="20"/>
      <c r="G16" s="101" t="s">
        <v>36</v>
      </c>
      <c r="K16" s="61" t="s">
        <v>152</v>
      </c>
      <c r="L16" s="113" t="s">
        <v>153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C16" s="39"/>
      <c r="AD16" s="39"/>
    </row>
    <row r="17" spans="1:53" x14ac:dyDescent="0.25">
      <c r="A17" s="102" t="s">
        <v>37</v>
      </c>
      <c r="B17" s="102" t="s">
        <v>57</v>
      </c>
      <c r="C17" s="102" t="s">
        <v>38</v>
      </c>
      <c r="D17" s="102" t="s">
        <v>36</v>
      </c>
      <c r="E17" s="100" t="s">
        <v>21</v>
      </c>
      <c r="F17" s="37" t="s">
        <v>56</v>
      </c>
      <c r="G17" s="26" t="s">
        <v>148</v>
      </c>
      <c r="K17" s="30" t="s">
        <v>154</v>
      </c>
      <c r="L17" s="114" t="s">
        <v>155</v>
      </c>
      <c r="M17" s="30" t="s">
        <v>22</v>
      </c>
      <c r="N17" s="30" t="s">
        <v>150</v>
      </c>
      <c r="O17" s="30" t="s">
        <v>126</v>
      </c>
      <c r="P17" s="30" t="s">
        <v>38</v>
      </c>
      <c r="Q17" s="30" t="s">
        <v>39</v>
      </c>
      <c r="R17" s="30" t="s">
        <v>40</v>
      </c>
      <c r="S17" s="30" t="s">
        <v>41</v>
      </c>
      <c r="T17" s="30" t="s">
        <v>56</v>
      </c>
      <c r="U17" s="30" t="s">
        <v>125</v>
      </c>
      <c r="V17" s="30" t="s">
        <v>124</v>
      </c>
      <c r="W17" s="30" t="s">
        <v>57</v>
      </c>
      <c r="X17" s="30" t="s">
        <v>35</v>
      </c>
      <c r="Y17" s="30" t="s">
        <v>29</v>
      </c>
      <c r="Z17" s="30" t="s">
        <v>36</v>
      </c>
      <c r="AA17" s="30" t="s">
        <v>37</v>
      </c>
      <c r="AB17" s="115" t="s">
        <v>47</v>
      </c>
      <c r="AC17" s="30"/>
      <c r="AD17" s="30"/>
      <c r="AE17" s="30"/>
    </row>
    <row r="18" spans="1:53" x14ac:dyDescent="0.25">
      <c r="A18" s="14">
        <v>26</v>
      </c>
      <c r="B18" s="14">
        <v>27</v>
      </c>
      <c r="C18" s="14">
        <v>28</v>
      </c>
      <c r="D18" s="14">
        <v>29</v>
      </c>
      <c r="E18" s="15">
        <v>30</v>
      </c>
      <c r="F18" s="14">
        <v>31</v>
      </c>
      <c r="K18" s="30" t="s">
        <v>156</v>
      </c>
      <c r="L18" s="116" t="s">
        <v>157</v>
      </c>
      <c r="M18" s="31" t="s">
        <v>37</v>
      </c>
      <c r="N18" s="30" t="s">
        <v>57</v>
      </c>
      <c r="O18" s="30" t="s">
        <v>41</v>
      </c>
      <c r="P18" s="31" t="s">
        <v>36</v>
      </c>
      <c r="Q18" s="30" t="s">
        <v>124</v>
      </c>
      <c r="R18" s="30" t="s">
        <v>40</v>
      </c>
      <c r="S18" s="30" t="s">
        <v>126</v>
      </c>
      <c r="T18" s="31" t="s">
        <v>29</v>
      </c>
      <c r="U18" s="30" t="s">
        <v>125</v>
      </c>
      <c r="V18" s="30" t="s">
        <v>39</v>
      </c>
      <c r="W18" s="30" t="s">
        <v>150</v>
      </c>
      <c r="X18" s="31" t="s">
        <v>35</v>
      </c>
      <c r="Y18" s="30" t="s">
        <v>56</v>
      </c>
      <c r="Z18" s="30" t="s">
        <v>38</v>
      </c>
      <c r="AA18" s="30" t="s">
        <v>22</v>
      </c>
      <c r="AB18" s="30"/>
      <c r="AC18" s="30"/>
      <c r="AD18" s="30"/>
      <c r="AE18" s="30"/>
    </row>
    <row r="19" spans="1:53" x14ac:dyDescent="0.25">
      <c r="A19" s="99" t="s">
        <v>41</v>
      </c>
      <c r="B19" s="99" t="s">
        <v>124</v>
      </c>
      <c r="C19" s="99" t="s">
        <v>125</v>
      </c>
      <c r="D19" s="99" t="s">
        <v>56</v>
      </c>
      <c r="E19" s="117" t="s">
        <v>37</v>
      </c>
      <c r="F19" s="20"/>
      <c r="K19" s="30" t="s">
        <v>158</v>
      </c>
      <c r="L19" s="114" t="s">
        <v>159</v>
      </c>
      <c r="M19" s="31" t="s">
        <v>35</v>
      </c>
      <c r="N19" s="31" t="s">
        <v>29</v>
      </c>
      <c r="O19" s="31" t="s">
        <v>36</v>
      </c>
      <c r="P19" s="31" t="s">
        <v>37</v>
      </c>
      <c r="Q19" s="30" t="s">
        <v>56</v>
      </c>
      <c r="R19" s="30" t="s">
        <v>125</v>
      </c>
      <c r="S19" s="30" t="s">
        <v>124</v>
      </c>
      <c r="T19" s="30" t="s">
        <v>57</v>
      </c>
      <c r="U19" s="30" t="s">
        <v>38</v>
      </c>
      <c r="V19" s="30" t="s">
        <v>39</v>
      </c>
      <c r="W19" s="30" t="s">
        <v>40</v>
      </c>
      <c r="X19" s="30" t="s">
        <v>41</v>
      </c>
      <c r="Y19" s="30" t="s">
        <v>44</v>
      </c>
      <c r="Z19" s="30" t="s">
        <v>21</v>
      </c>
      <c r="AA19" s="30" t="s">
        <v>22</v>
      </c>
      <c r="AB19" s="30"/>
      <c r="AC19" s="30"/>
      <c r="AD19" s="30"/>
      <c r="AE19" s="30"/>
    </row>
    <row r="20" spans="1:53" x14ac:dyDescent="0.25">
      <c r="A20" s="102" t="s">
        <v>124</v>
      </c>
      <c r="B20" s="102" t="s">
        <v>40</v>
      </c>
      <c r="C20" s="102" t="s">
        <v>126</v>
      </c>
      <c r="D20" s="102" t="s">
        <v>29</v>
      </c>
      <c r="E20" s="118" t="s">
        <v>160</v>
      </c>
      <c r="F20" s="37" t="s">
        <v>125</v>
      </c>
      <c r="K20" s="30" t="s">
        <v>48</v>
      </c>
      <c r="L20" s="114" t="s">
        <v>161</v>
      </c>
      <c r="M20" s="30" t="s">
        <v>162</v>
      </c>
      <c r="N20" s="30" t="s">
        <v>28</v>
      </c>
      <c r="O20" s="30" t="s">
        <v>27</v>
      </c>
      <c r="P20" s="31" t="s">
        <v>35</v>
      </c>
      <c r="Q20" s="31" t="s">
        <v>29</v>
      </c>
      <c r="R20" s="31" t="s">
        <v>36</v>
      </c>
      <c r="S20" s="31" t="s">
        <v>37</v>
      </c>
      <c r="T20" s="30" t="s">
        <v>26</v>
      </c>
      <c r="U20" s="30" t="s">
        <v>25</v>
      </c>
      <c r="V20" s="30" t="s">
        <v>18</v>
      </c>
      <c r="W20" s="30" t="s">
        <v>17</v>
      </c>
      <c r="X20" s="31" t="s">
        <v>35</v>
      </c>
      <c r="Y20" s="31" t="s">
        <v>29</v>
      </c>
      <c r="Z20" s="31" t="s">
        <v>36</v>
      </c>
      <c r="AA20" s="31" t="s">
        <v>37</v>
      </c>
      <c r="AB20" s="30" t="s">
        <v>19</v>
      </c>
      <c r="AC20" s="30" t="s">
        <v>66</v>
      </c>
      <c r="AD20" s="30" t="s">
        <v>163</v>
      </c>
      <c r="AE20" s="30" t="s">
        <v>72</v>
      </c>
    </row>
    <row r="21" spans="1:53" x14ac:dyDescent="0.25">
      <c r="B21" s="43"/>
      <c r="D21" s="119"/>
      <c r="E21" s="119"/>
      <c r="F21" s="120"/>
      <c r="G21" s="119"/>
      <c r="K21" s="36" t="s">
        <v>164</v>
      </c>
      <c r="L21" s="121"/>
      <c r="M21" s="30" t="s">
        <v>26</v>
      </c>
      <c r="N21" s="30" t="s">
        <v>25</v>
      </c>
      <c r="O21" s="30" t="s">
        <v>18</v>
      </c>
      <c r="P21" s="30" t="s">
        <v>17</v>
      </c>
      <c r="Q21" s="122" t="s">
        <v>52</v>
      </c>
      <c r="R21" s="122" t="s">
        <v>53</v>
      </c>
      <c r="S21" s="122" t="s">
        <v>54</v>
      </c>
      <c r="T21" s="122" t="s">
        <v>55</v>
      </c>
      <c r="U21" s="30" t="s">
        <v>19</v>
      </c>
      <c r="V21" s="30" t="s">
        <v>66</v>
      </c>
      <c r="W21" s="30" t="s">
        <v>163</v>
      </c>
      <c r="X21" s="30" t="s">
        <v>72</v>
      </c>
      <c r="Y21" s="122" t="s">
        <v>52</v>
      </c>
      <c r="Z21" s="122" t="s">
        <v>53</v>
      </c>
      <c r="AA21" s="122" t="s">
        <v>54</v>
      </c>
      <c r="AB21" s="122" t="s">
        <v>55</v>
      </c>
      <c r="AC21" s="31" t="s">
        <v>35</v>
      </c>
      <c r="AD21" s="31" t="s">
        <v>29</v>
      </c>
      <c r="AE21" s="31" t="s">
        <v>36</v>
      </c>
      <c r="AF21" s="31" t="s">
        <v>37</v>
      </c>
    </row>
    <row r="22" spans="1:53" s="30" customFormat="1" ht="14.25" customHeight="1" x14ac:dyDescent="0.25">
      <c r="F22" s="1"/>
      <c r="K22" s="30" t="s">
        <v>165</v>
      </c>
      <c r="L22" s="123" t="s">
        <v>166</v>
      </c>
      <c r="M22" s="124" t="s">
        <v>35</v>
      </c>
      <c r="N22" s="124" t="s">
        <v>29</v>
      </c>
      <c r="O22" s="124" t="s">
        <v>36</v>
      </c>
      <c r="P22" s="124" t="s">
        <v>37</v>
      </c>
      <c r="Q22" s="124" t="s">
        <v>36</v>
      </c>
      <c r="R22" s="124" t="s">
        <v>37</v>
      </c>
      <c r="S22" s="123" t="s">
        <v>124</v>
      </c>
      <c r="T22" s="123" t="s">
        <v>57</v>
      </c>
      <c r="U22" s="124" t="s">
        <v>35</v>
      </c>
      <c r="V22" s="124" t="s">
        <v>29</v>
      </c>
      <c r="W22" s="123" t="s">
        <v>56</v>
      </c>
      <c r="X22" s="123" t="s">
        <v>125</v>
      </c>
      <c r="Y22" s="123" t="s">
        <v>56</v>
      </c>
      <c r="Z22" s="123" t="s">
        <v>125</v>
      </c>
      <c r="AA22" s="123" t="s">
        <v>124</v>
      </c>
      <c r="AB22" s="123" t="s">
        <v>57</v>
      </c>
      <c r="AC22" s="123" t="s">
        <v>38</v>
      </c>
      <c r="AD22" s="123" t="s">
        <v>39</v>
      </c>
      <c r="AE22" s="123" t="s">
        <v>40</v>
      </c>
      <c r="AF22" s="123" t="s">
        <v>41</v>
      </c>
      <c r="AG22" s="123" t="s">
        <v>126</v>
      </c>
      <c r="AH22" s="123" t="s">
        <v>22</v>
      </c>
      <c r="AI22" s="123" t="s">
        <v>21</v>
      </c>
      <c r="AJ22" s="124" t="s">
        <v>35</v>
      </c>
      <c r="AK22" s="124" t="s">
        <v>29</v>
      </c>
      <c r="AL22" s="124" t="s">
        <v>36</v>
      </c>
      <c r="AM22" s="124" t="s">
        <v>37</v>
      </c>
      <c r="AN22" s="124" t="s">
        <v>36</v>
      </c>
      <c r="AO22" s="124" t="s">
        <v>37</v>
      </c>
      <c r="AP22" s="123" t="s">
        <v>124</v>
      </c>
      <c r="AQ22" s="123" t="s">
        <v>57</v>
      </c>
      <c r="AR22" s="124" t="s">
        <v>35</v>
      </c>
      <c r="AS22" s="124" t="s">
        <v>29</v>
      </c>
      <c r="AT22" s="123" t="s">
        <v>167</v>
      </c>
      <c r="AU22" s="123" t="s">
        <v>125</v>
      </c>
      <c r="AV22" s="123" t="s">
        <v>56</v>
      </c>
      <c r="AW22" s="123" t="s">
        <v>125</v>
      </c>
      <c r="AX22" s="123" t="s">
        <v>124</v>
      </c>
      <c r="AY22" s="123" t="s">
        <v>38</v>
      </c>
      <c r="AZ22" s="123" t="s">
        <v>39</v>
      </c>
      <c r="BA22" s="123" t="s">
        <v>40</v>
      </c>
    </row>
    <row r="23" spans="1:53" s="30" customFormat="1" x14ac:dyDescent="0.25">
      <c r="A23" s="125">
        <v>46327</v>
      </c>
      <c r="B23" s="67"/>
      <c r="C23" s="67"/>
      <c r="D23" s="67"/>
      <c r="E23" s="67"/>
      <c r="F23" s="126"/>
      <c r="G23" s="67"/>
      <c r="L23" s="123" t="s">
        <v>168</v>
      </c>
      <c r="M23" s="123" t="s">
        <v>22</v>
      </c>
      <c r="N23" s="123" t="s">
        <v>126</v>
      </c>
      <c r="O23" s="123" t="s">
        <v>21</v>
      </c>
      <c r="P23" s="123" t="s">
        <v>160</v>
      </c>
      <c r="Q23" s="123" t="s">
        <v>39</v>
      </c>
      <c r="R23" s="123" t="s">
        <v>38</v>
      </c>
      <c r="S23" s="123" t="s">
        <v>56</v>
      </c>
      <c r="T23" s="123" t="s">
        <v>169</v>
      </c>
      <c r="U23" s="123" t="s">
        <v>124</v>
      </c>
      <c r="V23" s="123" t="s">
        <v>57</v>
      </c>
      <c r="W23" s="124" t="s">
        <v>35</v>
      </c>
      <c r="X23" s="124" t="s">
        <v>29</v>
      </c>
      <c r="Y23" s="124" t="s">
        <v>36</v>
      </c>
      <c r="Z23" s="124" t="s">
        <v>37</v>
      </c>
      <c r="AA23" s="123" t="s">
        <v>56</v>
      </c>
      <c r="AB23" s="123" t="s">
        <v>125</v>
      </c>
      <c r="AC23" s="123" t="s">
        <v>124</v>
      </c>
      <c r="AD23" s="123" t="s">
        <v>57</v>
      </c>
      <c r="AE23" s="124" t="s">
        <v>35</v>
      </c>
      <c r="AF23" s="124" t="s">
        <v>29</v>
      </c>
      <c r="AG23" s="124" t="s">
        <v>36</v>
      </c>
      <c r="AH23" s="124" t="s">
        <v>37</v>
      </c>
      <c r="AI23" s="123" t="s">
        <v>22</v>
      </c>
      <c r="AJ23" s="123" t="s">
        <v>21</v>
      </c>
      <c r="AK23" s="123" t="s">
        <v>126</v>
      </c>
      <c r="AL23" s="123" t="s">
        <v>160</v>
      </c>
      <c r="AM23" s="123" t="s">
        <v>40</v>
      </c>
      <c r="AN23" s="123" t="s">
        <v>39</v>
      </c>
      <c r="AO23" s="123" t="s">
        <v>38</v>
      </c>
      <c r="AP23" s="123" t="s">
        <v>56</v>
      </c>
      <c r="AQ23" s="123" t="s">
        <v>169</v>
      </c>
      <c r="AR23" s="123" t="s">
        <v>124</v>
      </c>
      <c r="AS23" s="123" t="s">
        <v>57</v>
      </c>
      <c r="AT23" s="124" t="s">
        <v>35</v>
      </c>
      <c r="AU23" s="124" t="s">
        <v>29</v>
      </c>
      <c r="AV23" s="124" t="s">
        <v>36</v>
      </c>
      <c r="AW23" s="124" t="s">
        <v>37</v>
      </c>
      <c r="AX23" s="123" t="s">
        <v>56</v>
      </c>
      <c r="AY23" s="123" t="s">
        <v>125</v>
      </c>
      <c r="AZ23" s="123" t="s">
        <v>124</v>
      </c>
      <c r="BA23" s="123" t="s">
        <v>57</v>
      </c>
    </row>
    <row r="24" spans="1:53" x14ac:dyDescent="0.25">
      <c r="A24" s="52" t="s">
        <v>8</v>
      </c>
      <c r="B24" s="9" t="s">
        <v>9</v>
      </c>
      <c r="C24" s="52" t="s">
        <v>10</v>
      </c>
      <c r="D24" s="52" t="s">
        <v>11</v>
      </c>
      <c r="E24" s="52" t="s">
        <v>12</v>
      </c>
      <c r="F24" s="54" t="s">
        <v>13</v>
      </c>
      <c r="G24" s="55" t="s">
        <v>14</v>
      </c>
    </row>
    <row r="25" spans="1:53" x14ac:dyDescent="0.25">
      <c r="A25" s="13"/>
      <c r="B25" s="14"/>
      <c r="C25" s="14"/>
      <c r="D25" s="13"/>
      <c r="E25" s="14"/>
      <c r="F25" s="14"/>
      <c r="G25" s="58">
        <v>1</v>
      </c>
      <c r="K25" s="127" t="s">
        <v>170</v>
      </c>
      <c r="L25" s="128"/>
      <c r="M25" s="128"/>
      <c r="N25" s="128"/>
      <c r="O25" s="128"/>
    </row>
    <row r="26" spans="1:53" x14ac:dyDescent="0.25">
      <c r="A26" s="13"/>
      <c r="B26" s="20"/>
      <c r="C26" s="21"/>
      <c r="D26" s="13"/>
      <c r="E26" s="20"/>
      <c r="F26" s="21"/>
      <c r="G26" s="60" t="s">
        <v>66</v>
      </c>
      <c r="K26" s="13" t="s">
        <v>62</v>
      </c>
      <c r="L26" s="129" t="s">
        <v>35</v>
      </c>
      <c r="M26" s="30" t="s">
        <v>19</v>
      </c>
      <c r="N26" s="30" t="s">
        <v>26</v>
      </c>
      <c r="O26" s="30" t="s">
        <v>27</v>
      </c>
      <c r="P26" s="30"/>
      <c r="Q26" s="30"/>
    </row>
    <row r="27" spans="1:53" x14ac:dyDescent="0.25">
      <c r="A27" s="13"/>
      <c r="B27" s="24"/>
      <c r="C27" s="24"/>
      <c r="D27" s="13"/>
      <c r="E27" s="24"/>
      <c r="F27" s="24"/>
      <c r="G27" s="66" t="s">
        <v>22</v>
      </c>
      <c r="K27" s="13" t="s">
        <v>64</v>
      </c>
      <c r="L27" s="129" t="s">
        <v>29</v>
      </c>
      <c r="M27" s="30" t="s">
        <v>66</v>
      </c>
      <c r="N27" s="30" t="s">
        <v>25</v>
      </c>
      <c r="O27" s="30" t="s">
        <v>28</v>
      </c>
      <c r="P27" s="30"/>
      <c r="Q27" s="30"/>
      <c r="AB27" s="30"/>
      <c r="AC27" s="30"/>
      <c r="AD27" s="30"/>
      <c r="AE27" s="112"/>
    </row>
    <row r="28" spans="1:53" x14ac:dyDescent="0.25">
      <c r="A28" s="14">
        <v>2</v>
      </c>
      <c r="B28" s="14">
        <v>3</v>
      </c>
      <c r="C28" s="14">
        <v>4</v>
      </c>
      <c r="D28" s="14">
        <v>5</v>
      </c>
      <c r="E28" s="68">
        <v>6</v>
      </c>
      <c r="F28" s="14">
        <v>7</v>
      </c>
      <c r="G28" s="16">
        <v>8</v>
      </c>
      <c r="K28" s="13" t="s">
        <v>67</v>
      </c>
      <c r="L28" s="129" t="s">
        <v>36</v>
      </c>
      <c r="M28" s="30" t="s">
        <v>69</v>
      </c>
      <c r="N28" s="30" t="s">
        <v>18</v>
      </c>
      <c r="O28" s="30" t="s">
        <v>162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53" x14ac:dyDescent="0.25">
      <c r="A29" s="30" t="s">
        <v>57</v>
      </c>
      <c r="B29" s="130" t="s">
        <v>35</v>
      </c>
      <c r="C29" s="30" t="s">
        <v>29</v>
      </c>
      <c r="D29" s="130" t="s">
        <v>36</v>
      </c>
      <c r="E29" s="100" t="s">
        <v>36</v>
      </c>
      <c r="F29" s="20"/>
      <c r="G29" s="101" t="s">
        <v>37</v>
      </c>
      <c r="K29" s="13" t="s">
        <v>70</v>
      </c>
      <c r="L29" s="129" t="s">
        <v>37</v>
      </c>
      <c r="M29" s="30" t="s">
        <v>72</v>
      </c>
      <c r="N29" s="30" t="s">
        <v>17</v>
      </c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53" x14ac:dyDescent="0.25">
      <c r="A30" s="102" t="s">
        <v>125</v>
      </c>
      <c r="B30" s="102" t="s">
        <v>39</v>
      </c>
      <c r="C30" s="102" t="s">
        <v>150</v>
      </c>
      <c r="D30" s="102" t="s">
        <v>38</v>
      </c>
      <c r="E30" s="100" t="s">
        <v>39</v>
      </c>
      <c r="F30" s="24" t="s">
        <v>124</v>
      </c>
      <c r="G30" s="26" t="s">
        <v>125</v>
      </c>
      <c r="N30" s="30"/>
      <c r="O30" s="131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112"/>
    </row>
    <row r="31" spans="1:53" x14ac:dyDescent="0.25">
      <c r="A31" s="14">
        <v>9</v>
      </c>
      <c r="B31" s="14">
        <v>10</v>
      </c>
      <c r="C31" s="14">
        <v>11</v>
      </c>
      <c r="D31" s="14">
        <v>12</v>
      </c>
      <c r="E31" s="68">
        <v>13</v>
      </c>
      <c r="F31" s="14">
        <v>14</v>
      </c>
      <c r="G31" s="16">
        <v>15</v>
      </c>
      <c r="K31" s="127" t="s">
        <v>171</v>
      </c>
      <c r="M31" s="67"/>
      <c r="N31" s="30"/>
      <c r="O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53" x14ac:dyDescent="0.25">
      <c r="A32" s="130" t="s">
        <v>37</v>
      </c>
      <c r="B32" s="34" t="s">
        <v>148</v>
      </c>
      <c r="C32" s="130" t="s">
        <v>22</v>
      </c>
      <c r="D32" s="130" t="s">
        <v>150</v>
      </c>
      <c r="E32" s="100" t="s">
        <v>37</v>
      </c>
      <c r="F32" s="20"/>
      <c r="G32" s="101" t="s">
        <v>19</v>
      </c>
      <c r="L32" s="30" t="s">
        <v>172</v>
      </c>
      <c r="N32" s="30"/>
      <c r="O32" s="19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34" x14ac:dyDescent="0.25">
      <c r="A33" s="132" t="s">
        <v>56</v>
      </c>
      <c r="B33" s="102" t="s">
        <v>35</v>
      </c>
      <c r="C33" s="102" t="s">
        <v>40</v>
      </c>
      <c r="D33" s="102" t="s">
        <v>37</v>
      </c>
      <c r="E33" s="100" t="s">
        <v>38</v>
      </c>
      <c r="F33" s="24" t="s">
        <v>57</v>
      </c>
      <c r="G33" s="26" t="s">
        <v>39</v>
      </c>
      <c r="L33" s="30" t="s">
        <v>173</v>
      </c>
      <c r="N33" s="30"/>
      <c r="O33" s="30"/>
      <c r="Q33" s="30"/>
      <c r="R33" s="39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34" spans="1:34" x14ac:dyDescent="0.25">
      <c r="A34" s="35">
        <v>16</v>
      </c>
      <c r="B34" s="14">
        <v>17</v>
      </c>
      <c r="C34" s="35">
        <v>18</v>
      </c>
      <c r="D34" s="14">
        <v>19</v>
      </c>
      <c r="E34" s="15">
        <v>20</v>
      </c>
      <c r="F34" s="14">
        <v>21</v>
      </c>
      <c r="G34" s="16">
        <v>22</v>
      </c>
      <c r="L34" s="30" t="s">
        <v>174</v>
      </c>
      <c r="O34" s="19"/>
      <c r="Q34" s="30"/>
    </row>
    <row r="35" spans="1:34" x14ac:dyDescent="0.25">
      <c r="A35" s="30" t="s">
        <v>126</v>
      </c>
      <c r="B35" s="130" t="s">
        <v>38</v>
      </c>
      <c r="C35" s="30" t="s">
        <v>39</v>
      </c>
      <c r="D35" s="130" t="s">
        <v>40</v>
      </c>
      <c r="E35" s="100" t="s">
        <v>126</v>
      </c>
      <c r="F35" s="20"/>
      <c r="G35" s="101" t="s">
        <v>66</v>
      </c>
      <c r="L35" s="30" t="s">
        <v>175</v>
      </c>
      <c r="O35" s="19"/>
      <c r="Q35" s="39"/>
    </row>
    <row r="36" spans="1:34" x14ac:dyDescent="0.25">
      <c r="A36" s="102" t="s">
        <v>57</v>
      </c>
      <c r="B36" s="102" t="s">
        <v>41</v>
      </c>
      <c r="C36" s="102" t="s">
        <v>36</v>
      </c>
      <c r="D36" s="102" t="s">
        <v>124</v>
      </c>
      <c r="E36" s="100" t="s">
        <v>56</v>
      </c>
      <c r="F36" s="24" t="s">
        <v>38</v>
      </c>
      <c r="G36" s="26" t="s">
        <v>21</v>
      </c>
      <c r="N36" s="30"/>
    </row>
    <row r="37" spans="1:34" x14ac:dyDescent="0.25">
      <c r="A37" s="14">
        <v>23</v>
      </c>
      <c r="B37" s="35">
        <v>24</v>
      </c>
      <c r="C37" s="14">
        <v>25</v>
      </c>
      <c r="D37" s="14">
        <v>26</v>
      </c>
      <c r="E37" s="15">
        <v>27</v>
      </c>
      <c r="F37" s="14">
        <v>28</v>
      </c>
      <c r="G37" s="23">
        <v>29</v>
      </c>
      <c r="K37" s="2" t="s">
        <v>176</v>
      </c>
      <c r="L37" s="2"/>
      <c r="M37" s="2"/>
      <c r="N37" s="2"/>
      <c r="O37" s="2"/>
      <c r="P37" s="2"/>
      <c r="Q37" s="2"/>
      <c r="R37" s="2"/>
      <c r="S37" s="2"/>
      <c r="T37" s="2"/>
    </row>
    <row r="38" spans="1:34" x14ac:dyDescent="0.25">
      <c r="A38" s="130" t="s">
        <v>41</v>
      </c>
      <c r="B38" s="30" t="s">
        <v>56</v>
      </c>
      <c r="C38" s="130" t="s">
        <v>125</v>
      </c>
      <c r="D38" s="30" t="s">
        <v>124</v>
      </c>
      <c r="E38" s="117" t="s">
        <v>39</v>
      </c>
      <c r="F38" s="21"/>
      <c r="G38" s="101" t="s">
        <v>163</v>
      </c>
      <c r="K38" s="61" t="s">
        <v>177</v>
      </c>
      <c r="L38" s="167" t="s">
        <v>108</v>
      </c>
      <c r="M38" s="167"/>
      <c r="N38" s="167"/>
    </row>
    <row r="39" spans="1:34" x14ac:dyDescent="0.25">
      <c r="A39" s="102" t="s">
        <v>40</v>
      </c>
      <c r="B39" s="102" t="s">
        <v>126</v>
      </c>
      <c r="C39" s="102" t="s">
        <v>29</v>
      </c>
      <c r="D39" s="102" t="s">
        <v>125</v>
      </c>
      <c r="E39" s="118" t="s">
        <v>169</v>
      </c>
      <c r="F39" s="24" t="s">
        <v>39</v>
      </c>
      <c r="G39" s="26" t="s">
        <v>56</v>
      </c>
      <c r="K39" s="67" t="s">
        <v>109</v>
      </c>
      <c r="L39" s="30" t="s">
        <v>72</v>
      </c>
      <c r="N39" s="30" t="s">
        <v>57</v>
      </c>
      <c r="O39" s="31" t="s">
        <v>35</v>
      </c>
      <c r="P39" s="31" t="s">
        <v>29</v>
      </c>
      <c r="Q39" s="31" t="s">
        <v>36</v>
      </c>
      <c r="R39" s="31" t="s">
        <v>37</v>
      </c>
      <c r="S39" s="34" t="s">
        <v>47</v>
      </c>
      <c r="T39" s="30" t="s">
        <v>22</v>
      </c>
      <c r="U39" s="30" t="s">
        <v>150</v>
      </c>
      <c r="V39" s="30" t="s">
        <v>126</v>
      </c>
      <c r="W39" s="30" t="s">
        <v>38</v>
      </c>
      <c r="X39" s="30" t="s">
        <v>39</v>
      </c>
      <c r="Y39" s="30" t="s">
        <v>40</v>
      </c>
      <c r="Z39" s="30" t="s">
        <v>41</v>
      </c>
      <c r="AA39" s="30" t="s">
        <v>56</v>
      </c>
      <c r="AB39" s="30" t="s">
        <v>125</v>
      </c>
      <c r="AC39" s="30" t="s">
        <v>124</v>
      </c>
    </row>
    <row r="40" spans="1:34" x14ac:dyDescent="0.25">
      <c r="A40" s="14">
        <v>30</v>
      </c>
      <c r="B40" s="13"/>
      <c r="C40" s="13"/>
      <c r="D40" s="13"/>
      <c r="E40" s="13"/>
      <c r="F40" s="13"/>
      <c r="G40" s="13"/>
      <c r="K40" s="67" t="s">
        <v>110</v>
      </c>
      <c r="L40" s="30" t="s">
        <v>29</v>
      </c>
      <c r="N40" s="31" t="s">
        <v>29</v>
      </c>
      <c r="O40" s="30" t="s">
        <v>125</v>
      </c>
      <c r="P40" s="30" t="s">
        <v>39</v>
      </c>
      <c r="Q40" s="30" t="s">
        <v>150</v>
      </c>
      <c r="R40" s="133" t="s">
        <v>35</v>
      </c>
      <c r="S40" s="30" t="s">
        <v>56</v>
      </c>
      <c r="T40" s="30" t="s">
        <v>38</v>
      </c>
      <c r="U40" s="39" t="s">
        <v>22</v>
      </c>
      <c r="V40" s="31" t="s">
        <v>37</v>
      </c>
      <c r="W40" s="30" t="s">
        <v>57</v>
      </c>
      <c r="X40" s="30" t="s">
        <v>41</v>
      </c>
      <c r="Y40" s="31" t="s">
        <v>36</v>
      </c>
      <c r="Z40" s="30" t="s">
        <v>124</v>
      </c>
      <c r="AA40" s="30" t="s">
        <v>40</v>
      </c>
      <c r="AB40" s="30" t="s">
        <v>126</v>
      </c>
      <c r="AC40" s="134"/>
    </row>
    <row r="41" spans="1:34" x14ac:dyDescent="0.25">
      <c r="A41" s="130" t="s">
        <v>57</v>
      </c>
      <c r="B41" s="13"/>
      <c r="C41" s="13"/>
      <c r="D41" s="13"/>
      <c r="E41" s="13"/>
      <c r="F41" s="13"/>
      <c r="G41" s="13"/>
      <c r="K41" s="67" t="s">
        <v>122</v>
      </c>
      <c r="L41" s="30" t="s">
        <v>36</v>
      </c>
      <c r="N41" s="31" t="s">
        <v>36</v>
      </c>
      <c r="O41" s="31" t="s">
        <v>37</v>
      </c>
      <c r="P41" s="30" t="s">
        <v>56</v>
      </c>
      <c r="Q41" s="30" t="s">
        <v>125</v>
      </c>
      <c r="R41" s="30" t="s">
        <v>124</v>
      </c>
      <c r="S41" s="30" t="s">
        <v>57</v>
      </c>
      <c r="T41" s="30" t="s">
        <v>38</v>
      </c>
      <c r="U41" s="30" t="s">
        <v>39</v>
      </c>
      <c r="V41" s="30" t="s">
        <v>40</v>
      </c>
      <c r="W41" s="30" t="s">
        <v>41</v>
      </c>
      <c r="X41" s="30" t="s">
        <v>44</v>
      </c>
      <c r="Y41" s="30" t="s">
        <v>21</v>
      </c>
      <c r="Z41" s="30" t="s">
        <v>22</v>
      </c>
      <c r="AA41" s="31" t="s">
        <v>35</v>
      </c>
      <c r="AB41" s="31" t="s">
        <v>29</v>
      </c>
    </row>
    <row r="42" spans="1:34" x14ac:dyDescent="0.25">
      <c r="A42" s="102" t="s">
        <v>39</v>
      </c>
      <c r="B42" s="13"/>
      <c r="C42" s="13"/>
      <c r="D42" s="13"/>
      <c r="E42" s="13"/>
      <c r="F42" s="13"/>
      <c r="G42" s="13"/>
      <c r="K42" s="67" t="s">
        <v>123</v>
      </c>
      <c r="L42" s="30" t="s">
        <v>163</v>
      </c>
      <c r="N42" s="30" t="s">
        <v>124</v>
      </c>
      <c r="O42" s="30" t="s">
        <v>40</v>
      </c>
      <c r="P42" s="30" t="s">
        <v>126</v>
      </c>
      <c r="Q42" s="30" t="s">
        <v>125</v>
      </c>
      <c r="R42" s="30" t="s">
        <v>39</v>
      </c>
      <c r="S42" s="30" t="s">
        <v>150</v>
      </c>
      <c r="T42" s="30" t="s">
        <v>56</v>
      </c>
      <c r="U42" s="30" t="s">
        <v>38</v>
      </c>
      <c r="V42" s="30" t="s">
        <v>22</v>
      </c>
      <c r="W42" s="30" t="s">
        <v>57</v>
      </c>
      <c r="X42" s="30" t="s">
        <v>41</v>
      </c>
    </row>
    <row r="43" spans="1:34" x14ac:dyDescent="0.25">
      <c r="K43" s="67" t="s">
        <v>96</v>
      </c>
      <c r="L43" s="30" t="s">
        <v>35</v>
      </c>
      <c r="N43" s="31" t="s">
        <v>35</v>
      </c>
      <c r="O43" s="31" t="s">
        <v>29</v>
      </c>
      <c r="P43" s="31" t="s">
        <v>36</v>
      </c>
      <c r="Q43" s="31" t="s">
        <v>37</v>
      </c>
      <c r="R43" s="30" t="s">
        <v>19</v>
      </c>
      <c r="S43" s="30" t="s">
        <v>66</v>
      </c>
      <c r="T43" s="30" t="s">
        <v>163</v>
      </c>
      <c r="U43" s="30" t="s">
        <v>72</v>
      </c>
      <c r="V43" s="30" t="s">
        <v>162</v>
      </c>
      <c r="W43" s="30" t="s">
        <v>28</v>
      </c>
      <c r="X43" s="30" t="s">
        <v>27</v>
      </c>
      <c r="Y43" s="31" t="s">
        <v>35</v>
      </c>
      <c r="Z43" s="31" t="s">
        <v>29</v>
      </c>
      <c r="AA43" s="31" t="s">
        <v>36</v>
      </c>
      <c r="AB43" s="31" t="s">
        <v>37</v>
      </c>
      <c r="AC43" s="30" t="s">
        <v>26</v>
      </c>
      <c r="AD43" s="30" t="s">
        <v>25</v>
      </c>
      <c r="AE43" s="30" t="s">
        <v>18</v>
      </c>
      <c r="AF43" s="30" t="s">
        <v>17</v>
      </c>
    </row>
    <row r="44" spans="1:34" x14ac:dyDescent="0.25">
      <c r="K44" s="67" t="s">
        <v>178</v>
      </c>
      <c r="L44" s="30" t="s">
        <v>20</v>
      </c>
      <c r="N44" s="34" t="s">
        <v>150</v>
      </c>
      <c r="O44" s="34" t="s">
        <v>126</v>
      </c>
      <c r="P44" s="34" t="s">
        <v>38</v>
      </c>
      <c r="Q44" s="34" t="s">
        <v>39</v>
      </c>
      <c r="R44" s="34" t="s">
        <v>40</v>
      </c>
      <c r="S44" s="34" t="s">
        <v>41</v>
      </c>
      <c r="T44" s="34" t="s">
        <v>56</v>
      </c>
      <c r="U44" s="34" t="s">
        <v>125</v>
      </c>
      <c r="V44" s="34" t="s">
        <v>124</v>
      </c>
      <c r="W44" s="34" t="s">
        <v>57</v>
      </c>
      <c r="X44" s="34" t="s">
        <v>35</v>
      </c>
      <c r="Y44" s="34" t="s">
        <v>29</v>
      </c>
      <c r="Z44" s="34" t="s">
        <v>36</v>
      </c>
      <c r="AA44" s="34" t="s">
        <v>37</v>
      </c>
      <c r="AB44" s="34" t="s">
        <v>22</v>
      </c>
    </row>
    <row r="45" spans="1:34" x14ac:dyDescent="0.25">
      <c r="F45" s="1"/>
      <c r="K45" s="67" t="s">
        <v>179</v>
      </c>
      <c r="N45" s="30" t="s">
        <v>38</v>
      </c>
      <c r="O45" s="30" t="s">
        <v>39</v>
      </c>
      <c r="P45" s="30" t="s">
        <v>40</v>
      </c>
      <c r="Q45" s="30" t="s">
        <v>41</v>
      </c>
      <c r="R45" s="30" t="s">
        <v>56</v>
      </c>
      <c r="S45" s="30" t="s">
        <v>125</v>
      </c>
      <c r="T45" s="30" t="s">
        <v>124</v>
      </c>
      <c r="U45" s="30" t="s">
        <v>57</v>
      </c>
      <c r="V45" s="31" t="s">
        <v>35</v>
      </c>
      <c r="W45" s="31" t="s">
        <v>29</v>
      </c>
      <c r="X45" s="31" t="s">
        <v>36</v>
      </c>
      <c r="Y45" s="31" t="s">
        <v>37</v>
      </c>
      <c r="Z45" s="122" t="s">
        <v>52</v>
      </c>
      <c r="AA45" s="122" t="s">
        <v>53</v>
      </c>
      <c r="AB45" s="122" t="s">
        <v>54</v>
      </c>
      <c r="AC45" s="122" t="s">
        <v>55</v>
      </c>
      <c r="AD45" s="34" t="s">
        <v>47</v>
      </c>
    </row>
    <row r="46" spans="1:34" x14ac:dyDescent="0.25">
      <c r="F46" s="1"/>
      <c r="K46" s="67" t="s">
        <v>180</v>
      </c>
      <c r="N46" s="31" t="s">
        <v>29</v>
      </c>
      <c r="O46" s="30" t="s">
        <v>125</v>
      </c>
      <c r="P46" s="30" t="s">
        <v>39</v>
      </c>
      <c r="Q46" s="122" t="s">
        <v>52</v>
      </c>
      <c r="R46" s="31" t="s">
        <v>35</v>
      </c>
      <c r="S46" s="30" t="s">
        <v>56</v>
      </c>
      <c r="T46" s="30" t="s">
        <v>38</v>
      </c>
      <c r="U46" s="122" t="s">
        <v>55</v>
      </c>
      <c r="V46" s="31" t="s">
        <v>37</v>
      </c>
      <c r="W46" s="30" t="s">
        <v>57</v>
      </c>
      <c r="X46" s="30" t="s">
        <v>41</v>
      </c>
      <c r="Y46" s="122" t="s">
        <v>54</v>
      </c>
      <c r="Z46" s="31" t="s">
        <v>36</v>
      </c>
      <c r="AA46" s="30" t="s">
        <v>124</v>
      </c>
      <c r="AB46" s="30" t="s">
        <v>40</v>
      </c>
      <c r="AC46" s="122" t="s">
        <v>53</v>
      </c>
    </row>
    <row r="47" spans="1:34" x14ac:dyDescent="0.25">
      <c r="A47" s="49">
        <v>46357</v>
      </c>
      <c r="B47" s="50"/>
      <c r="C47" s="50"/>
      <c r="D47" s="50"/>
      <c r="E47" s="50"/>
      <c r="F47" s="51"/>
      <c r="G47" s="50"/>
      <c r="M47" s="67"/>
      <c r="N47" s="30"/>
      <c r="O47" s="19"/>
      <c r="P47" s="19"/>
      <c r="Q47" s="19"/>
      <c r="R47" s="19"/>
      <c r="S47" s="19"/>
    </row>
    <row r="48" spans="1:34" x14ac:dyDescent="0.25">
      <c r="A48" s="52" t="s">
        <v>8</v>
      </c>
      <c r="B48" s="52" t="s">
        <v>9</v>
      </c>
      <c r="C48" s="52" t="s">
        <v>10</v>
      </c>
      <c r="D48" s="52" t="s">
        <v>11</v>
      </c>
      <c r="E48" s="52" t="s">
        <v>12</v>
      </c>
      <c r="F48" s="54" t="s">
        <v>13</v>
      </c>
      <c r="G48" s="55" t="s">
        <v>14</v>
      </c>
      <c r="M48" s="67"/>
      <c r="N48" s="30"/>
      <c r="O48" s="30"/>
      <c r="P48" s="30"/>
      <c r="Q48" s="30"/>
      <c r="R48" s="30"/>
      <c r="S48" s="30"/>
    </row>
    <row r="49" spans="1:32" x14ac:dyDescent="0.25">
      <c r="A49" s="14"/>
      <c r="B49" s="14">
        <v>1</v>
      </c>
      <c r="C49" s="14">
        <v>2</v>
      </c>
      <c r="D49" s="14">
        <v>3</v>
      </c>
      <c r="E49" s="104">
        <v>4</v>
      </c>
      <c r="F49" s="105">
        <v>5</v>
      </c>
      <c r="G49" s="58">
        <v>6</v>
      </c>
      <c r="K49" s="2" t="s">
        <v>181</v>
      </c>
      <c r="L49" s="2"/>
      <c r="M49" s="2"/>
      <c r="N49" s="2"/>
      <c r="O49" s="2"/>
      <c r="P49" s="2"/>
      <c r="Q49" s="19"/>
      <c r="R49" s="19"/>
      <c r="S49" s="19"/>
      <c r="AA49" s="19"/>
    </row>
    <row r="50" spans="1:32" x14ac:dyDescent="0.25">
      <c r="A50" s="21"/>
      <c r="B50" s="30" t="s">
        <v>35</v>
      </c>
      <c r="C50" s="130" t="s">
        <v>29</v>
      </c>
      <c r="D50" s="30" t="s">
        <v>36</v>
      </c>
      <c r="E50" s="107" t="s">
        <v>66</v>
      </c>
      <c r="F50" s="108"/>
      <c r="G50" s="60"/>
      <c r="K50" s="61" t="s">
        <v>73</v>
      </c>
      <c r="L50" s="62"/>
      <c r="M50" s="62"/>
      <c r="N50" s="62"/>
      <c r="O50" s="62"/>
      <c r="P50" s="167" t="s">
        <v>182</v>
      </c>
      <c r="Q50" s="167"/>
      <c r="R50" s="167"/>
    </row>
    <row r="51" spans="1:32" x14ac:dyDescent="0.25">
      <c r="A51" s="24"/>
      <c r="B51" s="102" t="s">
        <v>150</v>
      </c>
      <c r="C51" s="102" t="s">
        <v>22</v>
      </c>
      <c r="D51" s="132" t="s">
        <v>56</v>
      </c>
      <c r="E51" s="110" t="s">
        <v>41</v>
      </c>
      <c r="F51" s="135"/>
      <c r="G51" s="66" t="s">
        <v>41</v>
      </c>
      <c r="K51" s="67" t="s">
        <v>109</v>
      </c>
      <c r="L51" s="30" t="s">
        <v>39</v>
      </c>
      <c r="U51" s="6"/>
      <c r="V51" s="6"/>
    </row>
    <row r="52" spans="1:32" x14ac:dyDescent="0.25">
      <c r="A52" s="107">
        <v>7</v>
      </c>
      <c r="B52" s="58">
        <v>8</v>
      </c>
      <c r="C52" s="14">
        <v>9</v>
      </c>
      <c r="D52" s="14">
        <v>10</v>
      </c>
      <c r="E52" s="15">
        <v>11</v>
      </c>
      <c r="F52" s="14">
        <v>12</v>
      </c>
      <c r="G52" s="136">
        <v>13</v>
      </c>
      <c r="K52" s="67" t="s">
        <v>110</v>
      </c>
      <c r="L52" s="30" t="s">
        <v>53</v>
      </c>
      <c r="M52" s="74"/>
    </row>
    <row r="53" spans="1:32" x14ac:dyDescent="0.25">
      <c r="A53" s="107" t="s">
        <v>183</v>
      </c>
      <c r="B53" s="78"/>
      <c r="C53" s="30" t="s">
        <v>37</v>
      </c>
      <c r="D53" s="137" t="s">
        <v>38</v>
      </c>
      <c r="E53" s="100" t="s">
        <v>40</v>
      </c>
      <c r="F53" s="20"/>
      <c r="G53" s="138" t="s">
        <v>72</v>
      </c>
      <c r="K53" s="67" t="s">
        <v>122</v>
      </c>
      <c r="L53" s="30" t="s">
        <v>29</v>
      </c>
      <c r="M53" s="75"/>
      <c r="Q53" s="30"/>
      <c r="R53" s="30"/>
      <c r="S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 spans="1:32" x14ac:dyDescent="0.25">
      <c r="A54" s="110" t="s">
        <v>41</v>
      </c>
      <c r="B54" s="66" t="s">
        <v>41</v>
      </c>
      <c r="C54" s="102" t="s">
        <v>38</v>
      </c>
      <c r="D54" s="102" t="s">
        <v>35</v>
      </c>
      <c r="E54" s="100" t="s">
        <v>50</v>
      </c>
      <c r="F54" s="24" t="s">
        <v>40</v>
      </c>
      <c r="G54" s="139" t="s">
        <v>38</v>
      </c>
      <c r="K54" s="67" t="s">
        <v>123</v>
      </c>
      <c r="L54" s="30" t="s">
        <v>40</v>
      </c>
      <c r="U54" s="30"/>
      <c r="V54" s="19"/>
    </row>
    <row r="55" spans="1:32" x14ac:dyDescent="0.25">
      <c r="A55" s="14">
        <v>14</v>
      </c>
      <c r="B55" s="14">
        <v>15</v>
      </c>
      <c r="C55" s="14">
        <v>16</v>
      </c>
      <c r="D55" s="14">
        <v>17</v>
      </c>
      <c r="E55" s="15">
        <v>18</v>
      </c>
      <c r="F55" s="14">
        <v>19</v>
      </c>
      <c r="G55" s="136">
        <v>20</v>
      </c>
      <c r="K55" s="67" t="s">
        <v>96</v>
      </c>
      <c r="L55" s="19" t="s">
        <v>184</v>
      </c>
      <c r="M55" s="67"/>
      <c r="N55" s="30"/>
    </row>
    <row r="56" spans="1:32" x14ac:dyDescent="0.25">
      <c r="A56" s="130" t="s">
        <v>22</v>
      </c>
      <c r="B56" s="30" t="s">
        <v>150</v>
      </c>
      <c r="C56" s="130" t="s">
        <v>126</v>
      </c>
      <c r="D56" s="130" t="s">
        <v>38</v>
      </c>
      <c r="E56" s="100" t="s">
        <v>41</v>
      </c>
      <c r="F56" s="20"/>
      <c r="G56" s="138" t="s">
        <v>162</v>
      </c>
      <c r="K56" s="67" t="s">
        <v>178</v>
      </c>
      <c r="L56" s="19" t="s">
        <v>37</v>
      </c>
      <c r="M56" s="67"/>
      <c r="N56" s="30"/>
    </row>
    <row r="57" spans="1:32" x14ac:dyDescent="0.25">
      <c r="A57" s="102" t="s">
        <v>37</v>
      </c>
      <c r="B57" s="102" t="s">
        <v>57</v>
      </c>
      <c r="C57" s="102" t="s">
        <v>41</v>
      </c>
      <c r="D57" s="102" t="s">
        <v>36</v>
      </c>
      <c r="E57" s="100" t="s">
        <v>57</v>
      </c>
      <c r="F57" s="24" t="s">
        <v>41</v>
      </c>
      <c r="G57" s="139" t="s">
        <v>22</v>
      </c>
      <c r="M57" s="67"/>
      <c r="N57" s="30"/>
      <c r="O57" s="30"/>
      <c r="P57" s="19"/>
      <c r="Q57" s="19"/>
      <c r="R57" s="19"/>
    </row>
    <row r="58" spans="1:32" ht="15.75" customHeight="1" x14ac:dyDescent="0.25">
      <c r="A58" s="14">
        <v>21</v>
      </c>
      <c r="B58" s="14">
        <v>22</v>
      </c>
      <c r="C58" s="14">
        <v>23</v>
      </c>
      <c r="D58" s="104">
        <v>24</v>
      </c>
      <c r="E58" s="58">
        <v>25</v>
      </c>
      <c r="F58" s="58">
        <v>26</v>
      </c>
      <c r="G58" s="58">
        <v>27</v>
      </c>
      <c r="M58" s="67"/>
      <c r="R58" s="30"/>
      <c r="S58" s="30"/>
      <c r="T58" s="30"/>
      <c r="U58" s="30"/>
      <c r="V58" s="30"/>
      <c r="W58" s="112"/>
      <c r="X58" s="30"/>
      <c r="Y58" s="30"/>
      <c r="Z58" s="30"/>
      <c r="AA58" s="30"/>
      <c r="AB58" s="30"/>
      <c r="AC58" s="30"/>
    </row>
    <row r="59" spans="1:32" x14ac:dyDescent="0.25">
      <c r="A59" s="130" t="s">
        <v>39</v>
      </c>
      <c r="B59" s="130" t="s">
        <v>22</v>
      </c>
      <c r="C59" s="30" t="s">
        <v>41</v>
      </c>
      <c r="D59" s="107" t="s">
        <v>185</v>
      </c>
      <c r="E59" s="78" t="s">
        <v>162</v>
      </c>
      <c r="F59" s="78" t="s">
        <v>27</v>
      </c>
      <c r="G59" s="60" t="s">
        <v>183</v>
      </c>
      <c r="M59" s="67"/>
      <c r="N59" s="30"/>
      <c r="Q59" s="30"/>
      <c r="R59" s="30"/>
      <c r="U59" s="30"/>
      <c r="V59" s="30"/>
      <c r="X59" s="30"/>
      <c r="Y59" s="30"/>
      <c r="AB59" s="30"/>
      <c r="AC59" s="30"/>
    </row>
    <row r="60" spans="1:32" x14ac:dyDescent="0.25">
      <c r="A60" s="102" t="s">
        <v>124</v>
      </c>
      <c r="B60" s="102" t="s">
        <v>40</v>
      </c>
      <c r="C60" s="102" t="s">
        <v>126</v>
      </c>
      <c r="D60" s="110" t="s">
        <v>126</v>
      </c>
      <c r="E60" s="66" t="s">
        <v>22</v>
      </c>
      <c r="F60" s="66" t="s">
        <v>125</v>
      </c>
      <c r="G60" s="66" t="s">
        <v>125</v>
      </c>
      <c r="M60" s="67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</row>
    <row r="61" spans="1:32" x14ac:dyDescent="0.25">
      <c r="A61" s="14">
        <v>28</v>
      </c>
      <c r="B61" s="14">
        <v>29</v>
      </c>
      <c r="C61" s="14">
        <v>30</v>
      </c>
      <c r="D61" s="104">
        <v>31</v>
      </c>
      <c r="M61" s="67"/>
      <c r="N61" s="30"/>
      <c r="O61" s="30"/>
      <c r="P61" s="30"/>
      <c r="Q61" s="30"/>
      <c r="R61" s="30"/>
      <c r="S61" s="30"/>
      <c r="T61" s="30"/>
      <c r="U61" s="112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spans="1:32" x14ac:dyDescent="0.25">
      <c r="A62" s="30" t="s">
        <v>56</v>
      </c>
      <c r="B62" s="130" t="s">
        <v>125</v>
      </c>
      <c r="C62" s="30" t="s">
        <v>124</v>
      </c>
      <c r="D62" s="107" t="s">
        <v>40</v>
      </c>
      <c r="M62" s="67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 spans="1:32" x14ac:dyDescent="0.25">
      <c r="A63" s="102" t="s">
        <v>29</v>
      </c>
      <c r="B63" s="102" t="s">
        <v>35</v>
      </c>
      <c r="C63" s="102" t="s">
        <v>39</v>
      </c>
      <c r="D63" s="110" t="s">
        <v>150</v>
      </c>
      <c r="M63" s="67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spans="1:32" x14ac:dyDescent="0.25">
      <c r="F64" s="1"/>
      <c r="M64" s="67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spans="1:13" x14ac:dyDescent="0.25">
      <c r="F65" s="1"/>
      <c r="M65" s="82"/>
    </row>
    <row r="66" spans="1:13" x14ac:dyDescent="0.25">
      <c r="M66" s="112"/>
    </row>
    <row r="67" spans="1:13" x14ac:dyDescent="0.25">
      <c r="A67" s="13"/>
      <c r="M67" s="67"/>
    </row>
    <row r="68" spans="1:13" x14ac:dyDescent="0.25">
      <c r="A68" s="83">
        <v>46388</v>
      </c>
      <c r="B68" s="50"/>
      <c r="C68" s="50"/>
      <c r="D68" s="50"/>
      <c r="E68" s="50"/>
      <c r="F68" s="51"/>
      <c r="G68" s="50"/>
      <c r="M68" s="67"/>
    </row>
    <row r="69" spans="1:13" x14ac:dyDescent="0.25">
      <c r="A69" s="52" t="s">
        <v>8</v>
      </c>
      <c r="B69" s="52" t="s">
        <v>9</v>
      </c>
      <c r="C69" s="52" t="s">
        <v>10</v>
      </c>
      <c r="D69" s="52" t="s">
        <v>11</v>
      </c>
      <c r="E69" s="52" t="s">
        <v>12</v>
      </c>
      <c r="F69" s="54" t="s">
        <v>13</v>
      </c>
      <c r="G69" s="55" t="s">
        <v>14</v>
      </c>
      <c r="M69" s="82"/>
    </row>
    <row r="70" spans="1:13" x14ac:dyDescent="0.25">
      <c r="A70" s="14"/>
      <c r="B70" s="14"/>
      <c r="C70" s="14"/>
      <c r="D70" s="33"/>
      <c r="E70" s="58">
        <v>1</v>
      </c>
      <c r="F70" s="108">
        <v>2</v>
      </c>
      <c r="G70" s="58">
        <v>3</v>
      </c>
    </row>
    <row r="71" spans="1:13" x14ac:dyDescent="0.25">
      <c r="A71" s="20"/>
      <c r="B71" s="20"/>
      <c r="C71" s="20"/>
      <c r="D71" s="87"/>
      <c r="E71" s="60" t="s">
        <v>18</v>
      </c>
      <c r="F71" s="108"/>
      <c r="G71" s="60" t="s">
        <v>145</v>
      </c>
    </row>
    <row r="72" spans="1:13" x14ac:dyDescent="0.25">
      <c r="A72" s="87"/>
      <c r="B72" s="87"/>
      <c r="C72" s="32"/>
      <c r="D72" s="24"/>
      <c r="E72" s="140" t="s">
        <v>150</v>
      </c>
      <c r="F72" s="108" t="s">
        <v>185</v>
      </c>
      <c r="G72" s="60" t="s">
        <v>57</v>
      </c>
    </row>
    <row r="73" spans="1:13" x14ac:dyDescent="0.25">
      <c r="A73" s="141">
        <v>4</v>
      </c>
      <c r="B73" s="142">
        <v>5</v>
      </c>
      <c r="C73" s="143">
        <v>6</v>
      </c>
      <c r="D73" s="20">
        <v>7</v>
      </c>
      <c r="E73" s="15">
        <v>8</v>
      </c>
      <c r="F73" s="14">
        <v>9</v>
      </c>
      <c r="G73" s="16">
        <v>10</v>
      </c>
    </row>
    <row r="74" spans="1:13" x14ac:dyDescent="0.25">
      <c r="A74" s="144" t="s">
        <v>183</v>
      </c>
      <c r="B74" s="107" t="s">
        <v>185</v>
      </c>
      <c r="C74" s="145"/>
      <c r="D74" s="130" t="s">
        <v>57</v>
      </c>
      <c r="E74" s="100" t="s">
        <v>56</v>
      </c>
      <c r="F74" s="20"/>
      <c r="G74" s="101" t="s">
        <v>20</v>
      </c>
    </row>
    <row r="75" spans="1:13" x14ac:dyDescent="0.25">
      <c r="A75" s="146" t="s">
        <v>56</v>
      </c>
      <c r="B75" s="110" t="s">
        <v>57</v>
      </c>
      <c r="C75" s="147" t="s">
        <v>57</v>
      </c>
      <c r="D75" s="102" t="s">
        <v>150</v>
      </c>
      <c r="E75" s="100" t="s">
        <v>35</v>
      </c>
      <c r="F75" s="24" t="s">
        <v>126</v>
      </c>
      <c r="G75" s="26" t="s">
        <v>57</v>
      </c>
    </row>
    <row r="76" spans="1:13" x14ac:dyDescent="0.25">
      <c r="A76" s="35">
        <v>11</v>
      </c>
      <c r="B76" s="20">
        <v>12</v>
      </c>
      <c r="C76" s="33">
        <v>13</v>
      </c>
      <c r="D76" s="14">
        <v>14</v>
      </c>
      <c r="E76" s="15">
        <v>15</v>
      </c>
      <c r="F76" s="14">
        <v>16</v>
      </c>
      <c r="G76" s="84">
        <v>17</v>
      </c>
    </row>
    <row r="77" spans="1:13" x14ac:dyDescent="0.25">
      <c r="A77" s="130" t="s">
        <v>35</v>
      </c>
      <c r="B77" s="130" t="s">
        <v>29</v>
      </c>
      <c r="C77" s="30" t="s">
        <v>36</v>
      </c>
      <c r="D77" s="130" t="s">
        <v>37</v>
      </c>
      <c r="E77" s="100" t="s">
        <v>125</v>
      </c>
      <c r="F77" s="20"/>
      <c r="G77" s="148" t="s">
        <v>27</v>
      </c>
    </row>
    <row r="78" spans="1:13" x14ac:dyDescent="0.25">
      <c r="A78" s="102" t="s">
        <v>125</v>
      </c>
      <c r="B78" s="132" t="s">
        <v>56</v>
      </c>
      <c r="C78" s="102" t="s">
        <v>38</v>
      </c>
      <c r="D78" s="102" t="s">
        <v>22</v>
      </c>
      <c r="E78" s="100" t="s">
        <v>29</v>
      </c>
      <c r="F78" s="24" t="s">
        <v>21</v>
      </c>
      <c r="G78" s="86" t="s">
        <v>41</v>
      </c>
    </row>
    <row r="79" spans="1:13" x14ac:dyDescent="0.25">
      <c r="A79" s="33">
        <v>18</v>
      </c>
      <c r="B79" s="14">
        <v>19</v>
      </c>
      <c r="C79" s="33">
        <v>20</v>
      </c>
      <c r="D79" s="14">
        <v>21</v>
      </c>
      <c r="E79" s="68">
        <v>22</v>
      </c>
      <c r="F79" s="20">
        <v>23</v>
      </c>
      <c r="G79" s="16">
        <v>24</v>
      </c>
    </row>
    <row r="80" spans="1:13" x14ac:dyDescent="0.25">
      <c r="A80" s="137" t="s">
        <v>39</v>
      </c>
      <c r="B80" s="130" t="s">
        <v>22</v>
      </c>
      <c r="C80" s="30" t="s">
        <v>150</v>
      </c>
      <c r="D80" s="130" t="s">
        <v>126</v>
      </c>
      <c r="E80" s="100" t="s">
        <v>56</v>
      </c>
      <c r="F80" s="20"/>
      <c r="G80" s="101" t="s">
        <v>35</v>
      </c>
    </row>
    <row r="81" spans="1:7" x14ac:dyDescent="0.25">
      <c r="A81" s="102" t="s">
        <v>37</v>
      </c>
      <c r="B81" s="102" t="s">
        <v>57</v>
      </c>
      <c r="C81" s="102" t="s">
        <v>41</v>
      </c>
      <c r="D81" s="102" t="s">
        <v>36</v>
      </c>
      <c r="E81" s="100" t="s">
        <v>36</v>
      </c>
      <c r="F81" s="24" t="s">
        <v>22</v>
      </c>
      <c r="G81" s="26" t="s">
        <v>124</v>
      </c>
    </row>
    <row r="82" spans="1:7" x14ac:dyDescent="0.25">
      <c r="A82" s="33">
        <v>25</v>
      </c>
      <c r="B82" s="20">
        <v>26</v>
      </c>
      <c r="C82" s="14">
        <v>27</v>
      </c>
      <c r="D82" s="14">
        <v>28</v>
      </c>
      <c r="E82" s="15">
        <v>29</v>
      </c>
      <c r="F82" s="20">
        <v>30</v>
      </c>
      <c r="G82" s="16">
        <v>31</v>
      </c>
    </row>
    <row r="83" spans="1:7" x14ac:dyDescent="0.25">
      <c r="A83" s="130" t="s">
        <v>38</v>
      </c>
      <c r="B83" s="130" t="s">
        <v>39</v>
      </c>
      <c r="C83" s="130" t="s">
        <v>40</v>
      </c>
      <c r="D83" s="130" t="s">
        <v>41</v>
      </c>
      <c r="E83" s="100" t="s">
        <v>125</v>
      </c>
      <c r="F83" s="20"/>
      <c r="G83" s="101" t="s">
        <v>29</v>
      </c>
    </row>
    <row r="84" spans="1:7" x14ac:dyDescent="0.25">
      <c r="A84" s="102" t="s">
        <v>124</v>
      </c>
      <c r="B84" s="102" t="s">
        <v>40</v>
      </c>
      <c r="C84" s="102" t="s">
        <v>126</v>
      </c>
      <c r="D84" s="102" t="s">
        <v>29</v>
      </c>
      <c r="E84" s="149" t="s">
        <v>37</v>
      </c>
      <c r="F84" s="24" t="s">
        <v>35</v>
      </c>
      <c r="G84" s="26" t="s">
        <v>40</v>
      </c>
    </row>
    <row r="85" spans="1:7" x14ac:dyDescent="0.25">
      <c r="F85" s="1"/>
    </row>
    <row r="86" spans="1:7" x14ac:dyDescent="0.25">
      <c r="F86" s="1"/>
    </row>
    <row r="87" spans="1:7" x14ac:dyDescent="0.25">
      <c r="A87" s="7">
        <v>46419</v>
      </c>
      <c r="B87" s="50"/>
      <c r="C87" s="50"/>
      <c r="D87" s="50"/>
      <c r="E87" s="50"/>
      <c r="F87" s="51"/>
      <c r="G87" s="50"/>
    </row>
    <row r="88" spans="1:7" x14ac:dyDescent="0.25">
      <c r="A88" s="52" t="s">
        <v>8</v>
      </c>
      <c r="B88" s="52" t="s">
        <v>9</v>
      </c>
      <c r="C88" s="52" t="s">
        <v>10</v>
      </c>
      <c r="D88" s="52" t="s">
        <v>11</v>
      </c>
      <c r="E88" s="52" t="s">
        <v>12</v>
      </c>
      <c r="F88" s="54" t="s">
        <v>13</v>
      </c>
      <c r="G88" s="55" t="s">
        <v>14</v>
      </c>
    </row>
    <row r="89" spans="1:7" x14ac:dyDescent="0.25">
      <c r="A89" s="33">
        <v>1</v>
      </c>
      <c r="B89" s="20">
        <v>2</v>
      </c>
      <c r="C89" s="14">
        <v>3</v>
      </c>
      <c r="D89" s="33">
        <v>4</v>
      </c>
      <c r="E89" s="15">
        <v>5</v>
      </c>
      <c r="F89" s="20">
        <v>6</v>
      </c>
      <c r="G89" s="16">
        <v>7</v>
      </c>
    </row>
    <row r="90" spans="1:7" x14ac:dyDescent="0.25">
      <c r="A90" s="30" t="s">
        <v>56</v>
      </c>
      <c r="B90" s="130" t="s">
        <v>125</v>
      </c>
      <c r="C90" s="30" t="s">
        <v>124</v>
      </c>
      <c r="D90" s="130" t="s">
        <v>57</v>
      </c>
      <c r="E90" s="100" t="s">
        <v>186</v>
      </c>
      <c r="F90" s="20"/>
      <c r="G90" s="101" t="s">
        <v>36</v>
      </c>
    </row>
    <row r="91" spans="1:7" x14ac:dyDescent="0.25">
      <c r="A91" s="102" t="s">
        <v>125</v>
      </c>
      <c r="B91" s="102" t="s">
        <v>39</v>
      </c>
      <c r="C91" s="102" t="s">
        <v>150</v>
      </c>
      <c r="D91" s="102" t="s">
        <v>35</v>
      </c>
      <c r="E91" s="100" t="s">
        <v>56</v>
      </c>
      <c r="F91" s="24" t="s">
        <v>29</v>
      </c>
      <c r="G91" s="26" t="s">
        <v>148</v>
      </c>
    </row>
    <row r="92" spans="1:7" x14ac:dyDescent="0.25">
      <c r="A92" s="14">
        <v>8</v>
      </c>
      <c r="B92" s="14">
        <v>9</v>
      </c>
      <c r="C92" s="14">
        <v>10</v>
      </c>
      <c r="D92" s="57">
        <v>11</v>
      </c>
      <c r="E92" s="15">
        <v>12</v>
      </c>
      <c r="F92" s="57">
        <v>13</v>
      </c>
      <c r="G92" s="16">
        <v>14</v>
      </c>
    </row>
    <row r="93" spans="1:7" x14ac:dyDescent="0.25">
      <c r="A93" s="30" t="s">
        <v>35</v>
      </c>
      <c r="B93" s="130" t="s">
        <v>29</v>
      </c>
      <c r="C93" s="30" t="s">
        <v>36</v>
      </c>
      <c r="D93" s="130" t="s">
        <v>37</v>
      </c>
      <c r="E93" s="150" t="s">
        <v>57</v>
      </c>
      <c r="F93" s="59"/>
      <c r="G93" s="101" t="s">
        <v>37</v>
      </c>
    </row>
    <row r="94" spans="1:7" x14ac:dyDescent="0.25">
      <c r="A94" s="132" t="s">
        <v>56</v>
      </c>
      <c r="B94" s="102" t="s">
        <v>38</v>
      </c>
      <c r="C94" s="102" t="s">
        <v>22</v>
      </c>
      <c r="D94" s="102" t="s">
        <v>41</v>
      </c>
      <c r="E94" s="100" t="s">
        <v>21</v>
      </c>
      <c r="F94" s="24" t="s">
        <v>36</v>
      </c>
      <c r="G94" s="26" t="s">
        <v>125</v>
      </c>
    </row>
    <row r="95" spans="1:7" x14ac:dyDescent="0.25">
      <c r="A95" s="14">
        <v>15</v>
      </c>
      <c r="B95" s="57">
        <v>16</v>
      </c>
      <c r="C95" s="14">
        <v>17</v>
      </c>
      <c r="D95" s="57">
        <v>18</v>
      </c>
      <c r="E95" s="15">
        <v>19</v>
      </c>
      <c r="F95" s="57">
        <v>20</v>
      </c>
      <c r="G95" s="16">
        <v>21</v>
      </c>
    </row>
    <row r="96" spans="1:7" x14ac:dyDescent="0.25">
      <c r="A96" s="137" t="s">
        <v>40</v>
      </c>
      <c r="B96" s="130" t="s">
        <v>22</v>
      </c>
      <c r="C96" s="30" t="s">
        <v>150</v>
      </c>
      <c r="D96" s="130" t="s">
        <v>126</v>
      </c>
      <c r="E96" s="150" t="s">
        <v>38</v>
      </c>
      <c r="F96" s="59"/>
      <c r="G96" s="101" t="s">
        <v>26</v>
      </c>
    </row>
    <row r="97" spans="1:7" x14ac:dyDescent="0.25">
      <c r="A97" s="102" t="s">
        <v>57</v>
      </c>
      <c r="B97" s="102" t="s">
        <v>41</v>
      </c>
      <c r="C97" s="102" t="s">
        <v>36</v>
      </c>
      <c r="D97" s="102" t="s">
        <v>124</v>
      </c>
      <c r="E97" s="117" t="s">
        <v>22</v>
      </c>
      <c r="F97" s="24" t="s">
        <v>37</v>
      </c>
      <c r="G97" s="26" t="s">
        <v>39</v>
      </c>
    </row>
    <row r="98" spans="1:7" x14ac:dyDescent="0.25">
      <c r="A98" s="14">
        <v>22</v>
      </c>
      <c r="B98" s="57">
        <v>23</v>
      </c>
      <c r="C98" s="57">
        <v>24</v>
      </c>
      <c r="D98" s="57">
        <v>25</v>
      </c>
      <c r="E98" s="15">
        <v>26</v>
      </c>
      <c r="F98" s="57">
        <v>27</v>
      </c>
      <c r="G98" s="84">
        <v>28</v>
      </c>
    </row>
    <row r="99" spans="1:7" x14ac:dyDescent="0.25">
      <c r="A99" s="130" t="s">
        <v>38</v>
      </c>
      <c r="B99" s="130" t="s">
        <v>39</v>
      </c>
      <c r="C99" s="130" t="s">
        <v>40</v>
      </c>
      <c r="D99" s="130" t="s">
        <v>41</v>
      </c>
      <c r="E99" s="150" t="s">
        <v>39</v>
      </c>
      <c r="F99" s="59"/>
      <c r="G99" s="151" t="s">
        <v>25</v>
      </c>
    </row>
    <row r="100" spans="1:7" x14ac:dyDescent="0.25">
      <c r="A100" s="102" t="s">
        <v>40</v>
      </c>
      <c r="B100" s="102" t="s">
        <v>126</v>
      </c>
      <c r="C100" s="102" t="s">
        <v>29</v>
      </c>
      <c r="D100" s="102" t="s">
        <v>125</v>
      </c>
      <c r="E100" s="152" t="s">
        <v>57</v>
      </c>
      <c r="F100" s="24" t="s">
        <v>56</v>
      </c>
      <c r="G100" s="89" t="s">
        <v>21</v>
      </c>
    </row>
    <row r="101" spans="1:7" x14ac:dyDescent="0.25">
      <c r="A101" s="43"/>
      <c r="B101" s="43"/>
      <c r="C101" s="43"/>
      <c r="D101" s="43"/>
      <c r="E101" s="43"/>
      <c r="F101" s="43"/>
    </row>
    <row r="102" spans="1:7" x14ac:dyDescent="0.25">
      <c r="A102" s="95"/>
      <c r="B102" s="95"/>
      <c r="C102" s="95"/>
      <c r="D102" s="95"/>
      <c r="E102" s="43"/>
      <c r="F102" s="43"/>
    </row>
    <row r="103" spans="1:7" x14ac:dyDescent="0.25">
      <c r="A103" s="13"/>
      <c r="B103" s="13"/>
      <c r="C103" s="13"/>
      <c r="D103" s="13"/>
      <c r="E103" s="13"/>
      <c r="F103" s="13"/>
    </row>
    <row r="104" spans="1:7" x14ac:dyDescent="0.25">
      <c r="A104" s="13"/>
      <c r="B104" s="13"/>
      <c r="C104" s="13"/>
      <c r="D104" s="13"/>
      <c r="F104" s="1"/>
    </row>
    <row r="105" spans="1:7" x14ac:dyDescent="0.25">
      <c r="A105" s="13"/>
      <c r="B105" s="13"/>
      <c r="C105" s="13"/>
      <c r="D105" s="13"/>
      <c r="E105" s="50"/>
      <c r="F105" s="1"/>
      <c r="G105" s="50"/>
    </row>
    <row r="106" spans="1:7" x14ac:dyDescent="0.25">
      <c r="A106" s="49">
        <v>46447</v>
      </c>
      <c r="B106" s="50"/>
      <c r="C106" s="50"/>
      <c r="D106" s="50"/>
      <c r="E106" s="50"/>
      <c r="F106" s="51"/>
      <c r="G106" s="50"/>
    </row>
    <row r="107" spans="1:7" x14ac:dyDescent="0.25">
      <c r="A107" s="52" t="s">
        <v>8</v>
      </c>
      <c r="B107" s="52" t="s">
        <v>9</v>
      </c>
      <c r="C107" s="52" t="s">
        <v>10</v>
      </c>
      <c r="D107" s="52" t="s">
        <v>11</v>
      </c>
      <c r="E107" s="52" t="s">
        <v>12</v>
      </c>
      <c r="F107" s="54" t="s">
        <v>13</v>
      </c>
      <c r="G107" s="55" t="s">
        <v>14</v>
      </c>
    </row>
    <row r="108" spans="1:7" x14ac:dyDescent="0.25">
      <c r="A108" s="14">
        <v>1</v>
      </c>
      <c r="B108" s="14">
        <v>2</v>
      </c>
      <c r="C108" s="14">
        <v>3</v>
      </c>
      <c r="D108" s="14">
        <v>4</v>
      </c>
      <c r="E108" s="15">
        <v>5</v>
      </c>
      <c r="F108" s="14">
        <v>6</v>
      </c>
      <c r="G108" s="16">
        <v>7</v>
      </c>
    </row>
    <row r="109" spans="1:7" x14ac:dyDescent="0.25">
      <c r="A109" s="30" t="s">
        <v>56</v>
      </c>
      <c r="B109" s="130" t="s">
        <v>125</v>
      </c>
      <c r="C109" s="30" t="s">
        <v>124</v>
      </c>
      <c r="D109" s="130" t="s">
        <v>57</v>
      </c>
      <c r="E109" s="100" t="s">
        <v>40</v>
      </c>
      <c r="F109" s="20"/>
      <c r="G109" s="101" t="s">
        <v>18</v>
      </c>
    </row>
    <row r="110" spans="1:7" x14ac:dyDescent="0.25">
      <c r="A110" s="102" t="s">
        <v>39</v>
      </c>
      <c r="B110" s="102" t="s">
        <v>150</v>
      </c>
      <c r="C110" s="102" t="s">
        <v>35</v>
      </c>
      <c r="D110" s="132" t="s">
        <v>56</v>
      </c>
      <c r="E110" s="100" t="s">
        <v>35</v>
      </c>
      <c r="F110" s="24" t="s">
        <v>125</v>
      </c>
      <c r="G110" s="26" t="s">
        <v>56</v>
      </c>
    </row>
    <row r="111" spans="1:7" x14ac:dyDescent="0.25">
      <c r="A111" s="20">
        <v>8</v>
      </c>
      <c r="B111" s="14">
        <v>9</v>
      </c>
      <c r="C111" s="14">
        <v>10</v>
      </c>
      <c r="D111" s="56">
        <v>11</v>
      </c>
      <c r="E111" s="15">
        <v>12</v>
      </c>
      <c r="F111" s="57">
        <v>13</v>
      </c>
      <c r="G111" s="16">
        <v>14</v>
      </c>
    </row>
    <row r="112" spans="1:7" x14ac:dyDescent="0.25">
      <c r="A112" s="30" t="s">
        <v>35</v>
      </c>
      <c r="B112" s="130" t="s">
        <v>29</v>
      </c>
      <c r="C112" s="130" t="s">
        <v>36</v>
      </c>
      <c r="D112" s="130" t="s">
        <v>37</v>
      </c>
      <c r="E112" s="117" t="s">
        <v>41</v>
      </c>
      <c r="F112" s="59"/>
      <c r="G112" s="101" t="s">
        <v>17</v>
      </c>
    </row>
    <row r="113" spans="1:7" x14ac:dyDescent="0.25">
      <c r="A113" s="102" t="s">
        <v>38</v>
      </c>
      <c r="B113" s="102" t="s">
        <v>22</v>
      </c>
      <c r="C113" s="102" t="s">
        <v>148</v>
      </c>
      <c r="D113" s="102" t="s">
        <v>57</v>
      </c>
      <c r="E113" s="118" t="s">
        <v>29</v>
      </c>
      <c r="F113" s="65" t="s">
        <v>124</v>
      </c>
      <c r="G113" s="26" t="s">
        <v>38</v>
      </c>
    </row>
    <row r="114" spans="1:7" x14ac:dyDescent="0.25">
      <c r="A114" s="14">
        <v>15</v>
      </c>
      <c r="B114" s="14">
        <v>16</v>
      </c>
      <c r="C114" s="14">
        <v>17</v>
      </c>
      <c r="D114" s="14">
        <v>18</v>
      </c>
      <c r="E114" s="15">
        <v>19</v>
      </c>
      <c r="F114" s="14">
        <v>20</v>
      </c>
      <c r="G114" s="16">
        <v>21</v>
      </c>
    </row>
    <row r="115" spans="1:7" x14ac:dyDescent="0.25">
      <c r="A115" s="137" t="s">
        <v>41</v>
      </c>
      <c r="B115" s="130" t="s">
        <v>22</v>
      </c>
      <c r="C115" s="30" t="s">
        <v>150</v>
      </c>
      <c r="D115" s="130" t="s">
        <v>126</v>
      </c>
      <c r="E115" s="117" t="s">
        <v>126</v>
      </c>
      <c r="F115" s="20"/>
      <c r="G115" s="101" t="s">
        <v>35</v>
      </c>
    </row>
    <row r="116" spans="1:7" x14ac:dyDescent="0.25">
      <c r="A116" s="102" t="s">
        <v>37</v>
      </c>
      <c r="B116" s="102" t="s">
        <v>36</v>
      </c>
      <c r="C116" s="102" t="s">
        <v>124</v>
      </c>
      <c r="D116" s="102" t="s">
        <v>40</v>
      </c>
      <c r="E116" s="118" t="s">
        <v>36</v>
      </c>
      <c r="F116" s="24" t="s">
        <v>57</v>
      </c>
      <c r="G116" s="26" t="s">
        <v>22</v>
      </c>
    </row>
    <row r="117" spans="1:7" x14ac:dyDescent="0.25">
      <c r="A117" s="14">
        <v>22</v>
      </c>
      <c r="B117" s="14">
        <v>23</v>
      </c>
      <c r="C117" s="14">
        <v>24</v>
      </c>
      <c r="D117" s="104">
        <v>25</v>
      </c>
      <c r="E117" s="58">
        <v>26</v>
      </c>
      <c r="F117" s="105">
        <v>27</v>
      </c>
      <c r="G117" s="58">
        <v>28</v>
      </c>
    </row>
    <row r="118" spans="1:7" x14ac:dyDescent="0.25">
      <c r="A118" s="130" t="s">
        <v>38</v>
      </c>
      <c r="B118" s="130" t="s">
        <v>39</v>
      </c>
      <c r="C118" s="130" t="s">
        <v>40</v>
      </c>
      <c r="D118" s="107" t="s">
        <v>125</v>
      </c>
      <c r="E118" s="60" t="s">
        <v>183</v>
      </c>
      <c r="F118" s="108"/>
      <c r="G118" s="60" t="s">
        <v>145</v>
      </c>
    </row>
    <row r="119" spans="1:7" x14ac:dyDescent="0.25">
      <c r="A119" s="102" t="s">
        <v>126</v>
      </c>
      <c r="B119" s="102" t="s">
        <v>29</v>
      </c>
      <c r="C119" s="102" t="s">
        <v>125</v>
      </c>
      <c r="D119" s="110" t="s">
        <v>39</v>
      </c>
      <c r="E119" s="66" t="s">
        <v>39</v>
      </c>
      <c r="F119" s="135" t="s">
        <v>183</v>
      </c>
      <c r="G119" s="66" t="s">
        <v>39</v>
      </c>
    </row>
    <row r="120" spans="1:7" x14ac:dyDescent="0.25">
      <c r="A120" s="58">
        <v>29</v>
      </c>
      <c r="B120" s="14">
        <v>30</v>
      </c>
      <c r="C120" s="14">
        <v>31</v>
      </c>
    </row>
    <row r="121" spans="1:7" x14ac:dyDescent="0.25">
      <c r="A121" s="78"/>
      <c r="B121" s="130" t="s">
        <v>41</v>
      </c>
      <c r="C121" s="130" t="s">
        <v>56</v>
      </c>
    </row>
    <row r="122" spans="1:7" x14ac:dyDescent="0.25">
      <c r="A122" s="153" t="s">
        <v>50</v>
      </c>
      <c r="B122" s="102" t="s">
        <v>39</v>
      </c>
      <c r="C122" s="102" t="s">
        <v>150</v>
      </c>
    </row>
    <row r="123" spans="1:7" x14ac:dyDescent="0.25">
      <c r="D123" s="13"/>
      <c r="E123" s="13"/>
      <c r="F123" s="13"/>
      <c r="G123" s="13"/>
    </row>
    <row r="124" spans="1:7" x14ac:dyDescent="0.25">
      <c r="D124" s="13"/>
      <c r="E124" s="13"/>
      <c r="F124" s="13"/>
      <c r="G124" s="13"/>
    </row>
    <row r="125" spans="1:7" x14ac:dyDescent="0.25">
      <c r="F125" s="1"/>
    </row>
    <row r="126" spans="1:7" x14ac:dyDescent="0.25">
      <c r="F126" s="1"/>
    </row>
    <row r="127" spans="1:7" x14ac:dyDescent="0.25">
      <c r="F127" s="1"/>
    </row>
    <row r="128" spans="1:7" x14ac:dyDescent="0.25">
      <c r="F128" s="1"/>
    </row>
    <row r="129" spans="1:11" x14ac:dyDescent="0.25">
      <c r="A129" s="49">
        <v>46478</v>
      </c>
      <c r="B129" s="50"/>
      <c r="C129" s="50"/>
      <c r="D129" s="50"/>
      <c r="E129" s="50"/>
      <c r="F129" s="51"/>
      <c r="G129" s="50"/>
    </row>
    <row r="130" spans="1:11" x14ac:dyDescent="0.25">
      <c r="A130" s="52" t="s">
        <v>8</v>
      </c>
      <c r="B130" s="52" t="s">
        <v>9</v>
      </c>
      <c r="C130" s="52" t="s">
        <v>10</v>
      </c>
      <c r="D130" s="52" t="s">
        <v>11</v>
      </c>
      <c r="E130" s="52" t="s">
        <v>12</v>
      </c>
      <c r="F130" s="54" t="s">
        <v>13</v>
      </c>
      <c r="G130" s="55" t="s">
        <v>14</v>
      </c>
    </row>
    <row r="131" spans="1:11" x14ac:dyDescent="0.25">
      <c r="A131" s="14"/>
      <c r="B131" s="14"/>
      <c r="C131" s="14"/>
      <c r="D131" s="14">
        <v>1</v>
      </c>
      <c r="E131" s="15">
        <v>2</v>
      </c>
      <c r="F131" s="14">
        <v>3</v>
      </c>
      <c r="G131" s="136">
        <v>4</v>
      </c>
    </row>
    <row r="132" spans="1:11" x14ac:dyDescent="0.25">
      <c r="A132" s="20"/>
      <c r="B132" s="20"/>
      <c r="C132" s="21"/>
      <c r="D132" s="130" t="s">
        <v>125</v>
      </c>
      <c r="E132" s="117" t="s">
        <v>22</v>
      </c>
      <c r="F132" s="20"/>
      <c r="G132" s="138" t="s">
        <v>29</v>
      </c>
    </row>
    <row r="133" spans="1:11" x14ac:dyDescent="0.25">
      <c r="A133" s="24"/>
      <c r="B133" s="24"/>
      <c r="C133" s="24"/>
      <c r="D133" s="102" t="s">
        <v>35</v>
      </c>
      <c r="E133" s="118" t="s">
        <v>37</v>
      </c>
      <c r="F133" s="24" t="s">
        <v>21</v>
      </c>
      <c r="G133" s="139" t="s">
        <v>57</v>
      </c>
      <c r="K133" s="19" t="s">
        <v>187</v>
      </c>
    </row>
    <row r="134" spans="1:11" x14ac:dyDescent="0.25">
      <c r="A134" s="14">
        <v>5</v>
      </c>
      <c r="B134" s="14">
        <v>6</v>
      </c>
      <c r="C134" s="14">
        <v>7</v>
      </c>
      <c r="D134" s="56">
        <v>8</v>
      </c>
      <c r="E134" s="154">
        <v>9</v>
      </c>
      <c r="F134" s="14">
        <v>10</v>
      </c>
      <c r="G134" s="16">
        <v>11</v>
      </c>
    </row>
    <row r="135" spans="1:11" x14ac:dyDescent="0.25">
      <c r="A135" s="30" t="s">
        <v>124</v>
      </c>
      <c r="B135" s="130" t="s">
        <v>57</v>
      </c>
      <c r="C135" s="30" t="s">
        <v>35</v>
      </c>
      <c r="D135" s="130" t="s">
        <v>29</v>
      </c>
      <c r="E135" s="117" t="s">
        <v>21</v>
      </c>
      <c r="F135" s="20"/>
      <c r="G135" s="101" t="s">
        <v>36</v>
      </c>
    </row>
    <row r="136" spans="1:11" x14ac:dyDescent="0.25">
      <c r="A136" s="132" t="s">
        <v>56</v>
      </c>
      <c r="B136" s="102" t="s">
        <v>38</v>
      </c>
      <c r="C136" s="102" t="s">
        <v>22</v>
      </c>
      <c r="D136" s="102" t="s">
        <v>39</v>
      </c>
      <c r="E136" s="118" t="s">
        <v>22</v>
      </c>
      <c r="F136" s="24" t="s">
        <v>22</v>
      </c>
      <c r="G136" s="26" t="s">
        <v>41</v>
      </c>
    </row>
    <row r="137" spans="1:11" x14ac:dyDescent="0.25">
      <c r="A137" s="14">
        <v>12</v>
      </c>
      <c r="B137" s="14">
        <v>13</v>
      </c>
      <c r="C137" s="14">
        <v>14</v>
      </c>
      <c r="D137" s="14">
        <v>15</v>
      </c>
      <c r="E137" s="154">
        <v>16</v>
      </c>
      <c r="F137" s="14">
        <v>17</v>
      </c>
      <c r="G137" s="16">
        <v>18</v>
      </c>
    </row>
    <row r="138" spans="1:11" x14ac:dyDescent="0.25">
      <c r="A138" s="30" t="s">
        <v>36</v>
      </c>
      <c r="B138" s="130" t="s">
        <v>37</v>
      </c>
      <c r="C138" s="137" t="s">
        <v>56</v>
      </c>
      <c r="D138" s="130" t="s">
        <v>22</v>
      </c>
      <c r="E138" s="117" t="s">
        <v>35</v>
      </c>
      <c r="F138" s="20"/>
      <c r="G138" s="101" t="s">
        <v>37</v>
      </c>
    </row>
    <row r="139" spans="1:11" x14ac:dyDescent="0.25">
      <c r="A139" s="102" t="s">
        <v>57</v>
      </c>
      <c r="B139" s="102" t="s">
        <v>41</v>
      </c>
      <c r="C139" s="102" t="s">
        <v>36</v>
      </c>
      <c r="D139" s="102" t="s">
        <v>124</v>
      </c>
      <c r="E139" s="118" t="s">
        <v>21</v>
      </c>
      <c r="F139" s="24" t="s">
        <v>126</v>
      </c>
      <c r="G139" s="26" t="s">
        <v>124</v>
      </c>
    </row>
    <row r="140" spans="1:11" x14ac:dyDescent="0.25">
      <c r="A140" s="14">
        <v>19</v>
      </c>
      <c r="B140" s="14">
        <v>20</v>
      </c>
      <c r="C140" s="14">
        <v>21</v>
      </c>
      <c r="D140" s="14">
        <v>22</v>
      </c>
      <c r="E140" s="154">
        <v>23</v>
      </c>
      <c r="F140" s="14">
        <v>24</v>
      </c>
      <c r="G140" s="16">
        <v>25</v>
      </c>
    </row>
    <row r="141" spans="1:11" x14ac:dyDescent="0.25">
      <c r="A141" s="30" t="s">
        <v>150</v>
      </c>
      <c r="B141" s="130" t="s">
        <v>126</v>
      </c>
      <c r="C141" s="130" t="s">
        <v>38</v>
      </c>
      <c r="D141" s="130" t="s">
        <v>39</v>
      </c>
      <c r="E141" s="117" t="s">
        <v>29</v>
      </c>
      <c r="F141" s="20"/>
      <c r="G141" s="101" t="s">
        <v>19</v>
      </c>
    </row>
    <row r="142" spans="1:11" x14ac:dyDescent="0.25">
      <c r="A142" s="102" t="s">
        <v>40</v>
      </c>
      <c r="B142" s="102" t="s">
        <v>37</v>
      </c>
      <c r="C142" s="102" t="s">
        <v>29</v>
      </c>
      <c r="D142" s="102" t="s">
        <v>125</v>
      </c>
      <c r="E142" s="118" t="s">
        <v>126</v>
      </c>
      <c r="F142" s="24" t="s">
        <v>38</v>
      </c>
      <c r="G142" s="26" t="s">
        <v>40</v>
      </c>
    </row>
    <row r="143" spans="1:11" x14ac:dyDescent="0.25">
      <c r="A143" s="14">
        <v>26</v>
      </c>
      <c r="B143" s="14">
        <v>27</v>
      </c>
      <c r="C143" s="14">
        <v>28</v>
      </c>
      <c r="D143" s="14">
        <v>29</v>
      </c>
      <c r="E143" s="104">
        <v>30</v>
      </c>
      <c r="F143" s="13"/>
      <c r="G143" s="13"/>
    </row>
    <row r="144" spans="1:11" x14ac:dyDescent="0.25">
      <c r="A144" s="130" t="s">
        <v>40</v>
      </c>
      <c r="B144" s="130" t="s">
        <v>41</v>
      </c>
      <c r="C144" s="130" t="s">
        <v>56</v>
      </c>
      <c r="D144" s="130" t="s">
        <v>125</v>
      </c>
      <c r="E144" s="107" t="s">
        <v>150</v>
      </c>
      <c r="F144" s="13"/>
      <c r="G144" s="13"/>
    </row>
    <row r="145" spans="1:22" x14ac:dyDescent="0.25">
      <c r="A145" s="102" t="s">
        <v>39</v>
      </c>
      <c r="B145" s="102" t="s">
        <v>150</v>
      </c>
      <c r="C145" s="102" t="s">
        <v>35</v>
      </c>
      <c r="D145" s="132" t="s">
        <v>56</v>
      </c>
      <c r="E145" s="110" t="s">
        <v>22</v>
      </c>
      <c r="F145" s="13"/>
    </row>
    <row r="146" spans="1:22" x14ac:dyDescent="0.25">
      <c r="F146" s="13"/>
    </row>
    <row r="147" spans="1:22" x14ac:dyDescent="0.25">
      <c r="F147" s="13"/>
    </row>
    <row r="148" spans="1:22" x14ac:dyDescent="0.25">
      <c r="A148" s="49">
        <v>46508</v>
      </c>
      <c r="B148" s="50"/>
      <c r="C148" s="50"/>
      <c r="D148" s="50"/>
      <c r="E148" s="50"/>
      <c r="F148" s="51"/>
      <c r="G148" s="50"/>
    </row>
    <row r="149" spans="1:22" x14ac:dyDescent="0.25">
      <c r="A149" s="52" t="s">
        <v>8</v>
      </c>
      <c r="B149" s="52" t="s">
        <v>9</v>
      </c>
      <c r="C149" s="52" t="s">
        <v>10</v>
      </c>
      <c r="D149" s="52" t="s">
        <v>11</v>
      </c>
      <c r="E149" s="52" t="s">
        <v>12</v>
      </c>
      <c r="F149" s="54" t="s">
        <v>13</v>
      </c>
      <c r="G149" s="55" t="s">
        <v>14</v>
      </c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</row>
    <row r="150" spans="1:22" x14ac:dyDescent="0.25">
      <c r="A150" s="14"/>
      <c r="B150" s="14"/>
      <c r="C150" s="14"/>
      <c r="D150" s="14"/>
      <c r="E150" s="14"/>
      <c r="F150" s="58">
        <v>1</v>
      </c>
      <c r="G150" s="136">
        <v>2</v>
      </c>
    </row>
    <row r="151" spans="1:22" x14ac:dyDescent="0.25">
      <c r="A151" s="20"/>
      <c r="B151" s="20"/>
      <c r="C151" s="20"/>
      <c r="D151" s="20"/>
      <c r="E151" s="20"/>
      <c r="F151" s="60" t="s">
        <v>17</v>
      </c>
      <c r="G151" s="138" t="s">
        <v>163</v>
      </c>
    </row>
    <row r="152" spans="1:22" x14ac:dyDescent="0.25">
      <c r="A152" s="24"/>
      <c r="B152" s="24"/>
      <c r="C152" s="24"/>
      <c r="D152" s="24"/>
      <c r="E152" s="24"/>
      <c r="F152" s="60" t="s">
        <v>150</v>
      </c>
      <c r="G152" s="139" t="s">
        <v>125</v>
      </c>
    </row>
    <row r="153" spans="1:22" x14ac:dyDescent="0.25">
      <c r="A153" s="20">
        <v>3</v>
      </c>
      <c r="B153" s="14">
        <v>4</v>
      </c>
      <c r="C153" s="14">
        <v>5</v>
      </c>
      <c r="D153" s="56">
        <v>6</v>
      </c>
      <c r="E153" s="15">
        <v>7</v>
      </c>
      <c r="F153" s="14">
        <v>8</v>
      </c>
      <c r="G153" s="136">
        <v>9</v>
      </c>
    </row>
    <row r="154" spans="1:22" x14ac:dyDescent="0.25">
      <c r="A154" s="30" t="s">
        <v>124</v>
      </c>
      <c r="B154" s="130" t="s">
        <v>57</v>
      </c>
      <c r="C154" s="130" t="s">
        <v>35</v>
      </c>
      <c r="D154" s="130" t="s">
        <v>29</v>
      </c>
      <c r="E154" s="100" t="s">
        <v>36</v>
      </c>
      <c r="F154" s="20"/>
      <c r="G154" s="138" t="s">
        <v>66</v>
      </c>
    </row>
    <row r="155" spans="1:22" x14ac:dyDescent="0.25">
      <c r="A155" s="102" t="s">
        <v>38</v>
      </c>
      <c r="B155" s="102" t="s">
        <v>37</v>
      </c>
      <c r="C155" s="102" t="s">
        <v>22</v>
      </c>
      <c r="D155" s="102" t="s">
        <v>57</v>
      </c>
      <c r="E155" s="100" t="s">
        <v>160</v>
      </c>
      <c r="F155" s="24" t="s">
        <v>39</v>
      </c>
      <c r="G155" s="139" t="s">
        <v>39</v>
      </c>
    </row>
    <row r="156" spans="1:22" x14ac:dyDescent="0.25">
      <c r="A156" s="14">
        <v>10</v>
      </c>
      <c r="B156" s="14">
        <v>11</v>
      </c>
      <c r="C156" s="14">
        <v>12</v>
      </c>
      <c r="D156" s="14">
        <v>13</v>
      </c>
      <c r="E156" s="104">
        <v>14</v>
      </c>
      <c r="F156" s="105">
        <v>15</v>
      </c>
      <c r="G156" s="58">
        <v>16</v>
      </c>
    </row>
    <row r="157" spans="1:22" x14ac:dyDescent="0.25">
      <c r="A157" s="30" t="s">
        <v>36</v>
      </c>
      <c r="B157" s="130" t="s">
        <v>150</v>
      </c>
      <c r="C157" s="137" t="s">
        <v>125</v>
      </c>
      <c r="D157" s="130" t="s">
        <v>22</v>
      </c>
      <c r="E157" s="107" t="s">
        <v>72</v>
      </c>
      <c r="F157" s="108"/>
      <c r="G157" s="60"/>
    </row>
    <row r="158" spans="1:22" x14ac:dyDescent="0.25">
      <c r="A158" s="102" t="s">
        <v>41</v>
      </c>
      <c r="B158" s="102" t="s">
        <v>126</v>
      </c>
      <c r="C158" s="102" t="s">
        <v>124</v>
      </c>
      <c r="D158" s="102" t="s">
        <v>126</v>
      </c>
      <c r="E158" s="110" t="s">
        <v>40</v>
      </c>
      <c r="F158" s="135"/>
      <c r="G158" s="66" t="s">
        <v>40</v>
      </c>
    </row>
    <row r="159" spans="1:22" x14ac:dyDescent="0.25">
      <c r="A159" s="58">
        <v>17</v>
      </c>
      <c r="B159" s="14">
        <v>18</v>
      </c>
      <c r="C159" s="14">
        <v>19</v>
      </c>
      <c r="D159" s="14">
        <v>20</v>
      </c>
      <c r="E159" s="15">
        <v>21</v>
      </c>
      <c r="F159" s="14">
        <v>22</v>
      </c>
      <c r="G159" s="136">
        <v>23</v>
      </c>
    </row>
    <row r="160" spans="1:22" x14ac:dyDescent="0.25">
      <c r="A160" s="78" t="s">
        <v>72</v>
      </c>
      <c r="B160" s="130" t="s">
        <v>37</v>
      </c>
      <c r="C160" s="130" t="s">
        <v>40</v>
      </c>
      <c r="D160" s="130" t="s">
        <v>38</v>
      </c>
      <c r="E160" s="100" t="s">
        <v>37</v>
      </c>
      <c r="F160" s="20"/>
      <c r="G160" s="138" t="s">
        <v>72</v>
      </c>
      <c r="I160" s="44" t="s">
        <v>188</v>
      </c>
    </row>
    <row r="161" spans="1:7" x14ac:dyDescent="0.25">
      <c r="A161" s="66" t="s">
        <v>40</v>
      </c>
      <c r="B161" s="102" t="s">
        <v>125</v>
      </c>
      <c r="C161" s="102" t="s">
        <v>29</v>
      </c>
      <c r="D161" s="102" t="s">
        <v>36</v>
      </c>
      <c r="E161" s="100" t="s">
        <v>40</v>
      </c>
      <c r="F161" s="24" t="s">
        <v>40</v>
      </c>
      <c r="G161" s="139" t="s">
        <v>56</v>
      </c>
    </row>
    <row r="162" spans="1:7" x14ac:dyDescent="0.25">
      <c r="A162" s="14">
        <v>24</v>
      </c>
      <c r="B162" s="14">
        <v>25</v>
      </c>
      <c r="C162" s="14">
        <v>26</v>
      </c>
      <c r="D162" s="14">
        <v>27</v>
      </c>
      <c r="E162" s="154">
        <v>28</v>
      </c>
      <c r="F162" s="14">
        <v>29</v>
      </c>
      <c r="G162" s="136">
        <v>30</v>
      </c>
    </row>
    <row r="163" spans="1:7" x14ac:dyDescent="0.25">
      <c r="A163" s="130" t="s">
        <v>39</v>
      </c>
      <c r="B163" s="130" t="s">
        <v>40</v>
      </c>
      <c r="C163" s="130" t="s">
        <v>41</v>
      </c>
      <c r="D163" s="130" t="s">
        <v>56</v>
      </c>
      <c r="E163" s="117" t="s">
        <v>36</v>
      </c>
      <c r="F163" s="20"/>
      <c r="G163" s="138" t="s">
        <v>35</v>
      </c>
    </row>
    <row r="164" spans="1:7" x14ac:dyDescent="0.25">
      <c r="A164" s="102" t="s">
        <v>37</v>
      </c>
      <c r="B164" s="102" t="s">
        <v>35</v>
      </c>
      <c r="C164" s="132" t="s">
        <v>56</v>
      </c>
      <c r="D164" s="102" t="s">
        <v>38</v>
      </c>
      <c r="E164" s="118" t="s">
        <v>39</v>
      </c>
      <c r="F164" s="24" t="s">
        <v>41</v>
      </c>
      <c r="G164" s="139" t="s">
        <v>38</v>
      </c>
    </row>
    <row r="165" spans="1:7" x14ac:dyDescent="0.25">
      <c r="A165" s="14">
        <v>31</v>
      </c>
      <c r="B165" s="13"/>
      <c r="C165" s="13"/>
      <c r="D165" s="13"/>
      <c r="E165" s="13"/>
      <c r="F165" s="13"/>
      <c r="G165" s="13"/>
    </row>
    <row r="166" spans="1:7" x14ac:dyDescent="0.25">
      <c r="A166" s="130" t="s">
        <v>125</v>
      </c>
      <c r="B166" s="13"/>
      <c r="C166" s="13"/>
      <c r="D166" s="13"/>
      <c r="E166" s="13"/>
      <c r="F166" s="13"/>
      <c r="G166" s="13"/>
    </row>
    <row r="167" spans="1:7" x14ac:dyDescent="0.25">
      <c r="A167" s="132" t="s">
        <v>37</v>
      </c>
      <c r="B167" s="13"/>
      <c r="C167" s="13"/>
      <c r="D167" s="13"/>
      <c r="E167" s="13"/>
      <c r="F167" s="13"/>
      <c r="G167" s="13"/>
    </row>
    <row r="168" spans="1:7" x14ac:dyDescent="0.25">
      <c r="A168" s="13"/>
      <c r="B168" s="13"/>
      <c r="C168" s="13"/>
      <c r="D168" s="13"/>
      <c r="E168" s="13"/>
      <c r="F168" s="13"/>
      <c r="G168" s="13"/>
    </row>
    <row r="169" spans="1:7" x14ac:dyDescent="0.25">
      <c r="F169" s="1"/>
    </row>
    <row r="170" spans="1:7" x14ac:dyDescent="0.25">
      <c r="F170" s="1"/>
    </row>
    <row r="171" spans="1:7" x14ac:dyDescent="0.25">
      <c r="A171" s="49">
        <v>46539</v>
      </c>
      <c r="B171" s="50"/>
      <c r="C171" s="50"/>
      <c r="D171" s="50"/>
      <c r="E171" s="50"/>
      <c r="F171" s="51"/>
      <c r="G171" s="50"/>
    </row>
    <row r="172" spans="1:7" x14ac:dyDescent="0.25">
      <c r="A172" s="52" t="s">
        <v>8</v>
      </c>
      <c r="B172" s="52" t="s">
        <v>9</v>
      </c>
      <c r="C172" s="52" t="s">
        <v>10</v>
      </c>
      <c r="D172" s="52" t="s">
        <v>11</v>
      </c>
      <c r="E172" s="52" t="s">
        <v>12</v>
      </c>
      <c r="F172" s="54" t="s">
        <v>13</v>
      </c>
      <c r="G172" s="55" t="s">
        <v>14</v>
      </c>
    </row>
    <row r="173" spans="1:7" x14ac:dyDescent="0.25">
      <c r="A173" s="14"/>
      <c r="B173" s="14">
        <v>1</v>
      </c>
      <c r="C173" s="14">
        <v>2</v>
      </c>
      <c r="D173" s="14">
        <v>3</v>
      </c>
      <c r="E173" s="15">
        <v>4</v>
      </c>
      <c r="F173" s="14">
        <v>5</v>
      </c>
      <c r="G173" s="136">
        <v>6</v>
      </c>
    </row>
    <row r="174" spans="1:7" x14ac:dyDescent="0.25">
      <c r="A174" s="21"/>
      <c r="B174" s="30" t="s">
        <v>124</v>
      </c>
      <c r="C174" s="130" t="s">
        <v>35</v>
      </c>
      <c r="D174" s="130" t="s">
        <v>57</v>
      </c>
      <c r="E174" s="100" t="s">
        <v>37</v>
      </c>
      <c r="F174" s="20"/>
      <c r="G174" s="138" t="s">
        <v>29</v>
      </c>
    </row>
    <row r="175" spans="1:7" x14ac:dyDescent="0.25">
      <c r="A175" s="24"/>
      <c r="B175" s="102" t="s">
        <v>57</v>
      </c>
      <c r="C175" s="102" t="s">
        <v>41</v>
      </c>
      <c r="D175" s="102" t="s">
        <v>36</v>
      </c>
      <c r="E175" s="100" t="s">
        <v>38</v>
      </c>
      <c r="F175" s="24" t="s">
        <v>35</v>
      </c>
      <c r="G175" s="139" t="s">
        <v>57</v>
      </c>
    </row>
    <row r="176" spans="1:7" x14ac:dyDescent="0.25">
      <c r="A176" s="20">
        <v>7</v>
      </c>
      <c r="B176" s="14">
        <v>8</v>
      </c>
      <c r="C176" s="14">
        <v>9</v>
      </c>
      <c r="D176" s="56">
        <v>10</v>
      </c>
      <c r="E176" s="154">
        <v>11</v>
      </c>
      <c r="F176" s="14">
        <v>12</v>
      </c>
      <c r="G176" s="136">
        <v>13</v>
      </c>
    </row>
    <row r="177" spans="1:8" x14ac:dyDescent="0.25">
      <c r="A177" s="130" t="s">
        <v>29</v>
      </c>
      <c r="B177" s="30" t="s">
        <v>36</v>
      </c>
      <c r="C177" s="130" t="s">
        <v>37</v>
      </c>
      <c r="D177" s="137" t="s">
        <v>124</v>
      </c>
      <c r="E177" s="117" t="s">
        <v>186</v>
      </c>
      <c r="F177" s="20"/>
      <c r="G177" s="138" t="s">
        <v>36</v>
      </c>
      <c r="H177" t="s">
        <v>189</v>
      </c>
    </row>
    <row r="178" spans="1:8" x14ac:dyDescent="0.25">
      <c r="A178" s="102" t="s">
        <v>124</v>
      </c>
      <c r="B178" s="102" t="s">
        <v>40</v>
      </c>
      <c r="C178" s="102" t="s">
        <v>29</v>
      </c>
      <c r="D178" s="102" t="s">
        <v>125</v>
      </c>
      <c r="E178" s="118" t="s">
        <v>56</v>
      </c>
      <c r="F178" s="24" t="s">
        <v>29</v>
      </c>
      <c r="G178" s="139" t="s">
        <v>41</v>
      </c>
    </row>
    <row r="179" spans="1:8" x14ac:dyDescent="0.25">
      <c r="A179" s="14">
        <v>14</v>
      </c>
      <c r="B179" s="14">
        <v>15</v>
      </c>
      <c r="C179" s="14">
        <v>16</v>
      </c>
      <c r="D179" s="14">
        <v>17</v>
      </c>
      <c r="E179" s="100">
        <v>18</v>
      </c>
      <c r="F179" s="14">
        <v>19</v>
      </c>
      <c r="G179" s="136">
        <v>20</v>
      </c>
    </row>
    <row r="180" spans="1:8" x14ac:dyDescent="0.25">
      <c r="A180" s="130" t="s">
        <v>38</v>
      </c>
      <c r="B180" s="130" t="s">
        <v>39</v>
      </c>
      <c r="C180" s="130" t="s">
        <v>40</v>
      </c>
      <c r="D180" s="130" t="s">
        <v>41</v>
      </c>
      <c r="E180" s="100" t="s">
        <v>57</v>
      </c>
      <c r="F180" s="20"/>
      <c r="G180" s="138" t="s">
        <v>37</v>
      </c>
    </row>
    <row r="181" spans="1:8" x14ac:dyDescent="0.25">
      <c r="A181" s="102" t="s">
        <v>39</v>
      </c>
      <c r="B181" s="102" t="s">
        <v>35</v>
      </c>
      <c r="C181" s="132" t="s">
        <v>56</v>
      </c>
      <c r="D181" s="102" t="s">
        <v>38</v>
      </c>
      <c r="E181" s="100" t="s">
        <v>169</v>
      </c>
      <c r="F181" s="24" t="s">
        <v>36</v>
      </c>
      <c r="G181" s="139" t="s">
        <v>124</v>
      </c>
    </row>
    <row r="182" spans="1:8" x14ac:dyDescent="0.25">
      <c r="A182" s="14">
        <v>21</v>
      </c>
      <c r="B182" s="14">
        <v>22</v>
      </c>
      <c r="C182" s="104">
        <v>23</v>
      </c>
      <c r="D182" s="58">
        <v>24</v>
      </c>
      <c r="E182" s="104">
        <v>25</v>
      </c>
      <c r="F182" s="105">
        <v>26</v>
      </c>
      <c r="G182" s="136">
        <v>27</v>
      </c>
    </row>
    <row r="183" spans="1:8" x14ac:dyDescent="0.25">
      <c r="A183" s="130" t="s">
        <v>56</v>
      </c>
      <c r="B183" s="130" t="s">
        <v>125</v>
      </c>
      <c r="C183" s="107"/>
      <c r="D183" s="78" t="s">
        <v>69</v>
      </c>
      <c r="E183" s="107"/>
      <c r="F183" s="108"/>
      <c r="G183" s="138" t="s">
        <v>26</v>
      </c>
    </row>
    <row r="184" spans="1:8" x14ac:dyDescent="0.25">
      <c r="A184" s="132" t="s">
        <v>37</v>
      </c>
      <c r="B184" s="102" t="s">
        <v>57</v>
      </c>
      <c r="C184" s="110" t="s">
        <v>50</v>
      </c>
      <c r="D184" s="66" t="s">
        <v>38</v>
      </c>
      <c r="E184" s="110" t="s">
        <v>38</v>
      </c>
      <c r="F184" s="135"/>
      <c r="G184" s="139" t="s">
        <v>40</v>
      </c>
    </row>
    <row r="185" spans="1:8" x14ac:dyDescent="0.25">
      <c r="A185" s="14">
        <v>28</v>
      </c>
      <c r="B185" s="14">
        <v>29</v>
      </c>
      <c r="C185" s="14">
        <v>30</v>
      </c>
    </row>
    <row r="186" spans="1:8" x14ac:dyDescent="0.25">
      <c r="A186" s="30" t="s">
        <v>124</v>
      </c>
      <c r="B186" s="130" t="s">
        <v>57</v>
      </c>
      <c r="C186" s="130" t="s">
        <v>35</v>
      </c>
      <c r="G186" s="155"/>
    </row>
    <row r="187" spans="1:8" x14ac:dyDescent="0.25">
      <c r="A187" s="102" t="s">
        <v>41</v>
      </c>
      <c r="B187" s="132" t="s">
        <v>36</v>
      </c>
      <c r="C187" s="102" t="s">
        <v>124</v>
      </c>
    </row>
    <row r="190" spans="1:8" x14ac:dyDescent="0.25">
      <c r="A190" s="13"/>
      <c r="B190" s="13"/>
    </row>
    <row r="191" spans="1:8" x14ac:dyDescent="0.25">
      <c r="A191" s="13"/>
      <c r="B191" s="13"/>
    </row>
    <row r="192" spans="1:8" x14ac:dyDescent="0.25">
      <c r="A192" s="49">
        <v>46569</v>
      </c>
      <c r="B192" s="50"/>
      <c r="C192" s="50"/>
      <c r="D192" s="50"/>
      <c r="E192" s="50"/>
      <c r="F192" s="51"/>
      <c r="G192" s="50"/>
    </row>
    <row r="193" spans="1:9" x14ac:dyDescent="0.25">
      <c r="A193" s="52" t="s">
        <v>8</v>
      </c>
      <c r="B193" s="52" t="s">
        <v>9</v>
      </c>
      <c r="C193" s="52" t="s">
        <v>10</v>
      </c>
      <c r="D193" s="52" t="s">
        <v>11</v>
      </c>
      <c r="E193" s="52" t="s">
        <v>12</v>
      </c>
      <c r="F193" s="54" t="s">
        <v>13</v>
      </c>
      <c r="G193" s="55" t="s">
        <v>14</v>
      </c>
    </row>
    <row r="194" spans="1:9" x14ac:dyDescent="0.25">
      <c r="A194" s="14"/>
      <c r="B194" s="14"/>
      <c r="C194" s="14"/>
      <c r="D194" s="14">
        <v>1</v>
      </c>
      <c r="E194" s="15">
        <v>2</v>
      </c>
      <c r="F194" s="14">
        <v>3</v>
      </c>
      <c r="G194" s="136">
        <v>4</v>
      </c>
    </row>
    <row r="195" spans="1:9" x14ac:dyDescent="0.25">
      <c r="A195" s="20"/>
      <c r="B195" s="20"/>
      <c r="C195" s="21"/>
      <c r="D195" s="130" t="s">
        <v>29</v>
      </c>
      <c r="E195" s="100" t="s">
        <v>35</v>
      </c>
      <c r="F195" s="20"/>
      <c r="G195" s="138" t="s">
        <v>25</v>
      </c>
    </row>
    <row r="196" spans="1:9" x14ac:dyDescent="0.25">
      <c r="A196" s="24"/>
      <c r="B196" s="24"/>
      <c r="C196" s="156"/>
      <c r="D196" s="102" t="s">
        <v>40</v>
      </c>
      <c r="E196" s="100" t="s">
        <v>50</v>
      </c>
      <c r="F196" s="24" t="s">
        <v>37</v>
      </c>
      <c r="G196" s="139" t="s">
        <v>29</v>
      </c>
    </row>
    <row r="197" spans="1:9" x14ac:dyDescent="0.25">
      <c r="A197" s="20">
        <v>5</v>
      </c>
      <c r="B197" s="14">
        <v>6</v>
      </c>
      <c r="C197" s="14">
        <v>7</v>
      </c>
      <c r="D197" s="56">
        <v>8</v>
      </c>
      <c r="E197" s="154">
        <v>9</v>
      </c>
      <c r="F197" s="14">
        <v>10</v>
      </c>
      <c r="G197" s="136">
        <v>11</v>
      </c>
    </row>
    <row r="198" spans="1:9" x14ac:dyDescent="0.25">
      <c r="A198" s="30" t="s">
        <v>36</v>
      </c>
      <c r="B198" s="130" t="s">
        <v>37</v>
      </c>
      <c r="C198" s="137" t="s">
        <v>57</v>
      </c>
      <c r="D198" s="130" t="s">
        <v>38</v>
      </c>
      <c r="E198" s="117" t="s">
        <v>29</v>
      </c>
      <c r="F198" s="20"/>
      <c r="G198" s="138" t="s">
        <v>18</v>
      </c>
    </row>
    <row r="199" spans="1:9" x14ac:dyDescent="0.25">
      <c r="A199" s="102" t="s">
        <v>29</v>
      </c>
      <c r="B199" s="102" t="s">
        <v>125</v>
      </c>
      <c r="C199" s="102" t="s">
        <v>39</v>
      </c>
      <c r="D199" s="102" t="s">
        <v>35</v>
      </c>
      <c r="E199" s="118" t="s">
        <v>57</v>
      </c>
      <c r="F199" s="24" t="s">
        <v>56</v>
      </c>
      <c r="G199" s="139" t="s">
        <v>125</v>
      </c>
      <c r="I199" t="s">
        <v>190</v>
      </c>
    </row>
    <row r="200" spans="1:9" x14ac:dyDescent="0.25">
      <c r="A200" s="14">
        <v>12</v>
      </c>
      <c r="B200" s="14">
        <v>13</v>
      </c>
      <c r="C200" s="14">
        <v>14</v>
      </c>
      <c r="D200" s="14">
        <v>15</v>
      </c>
      <c r="E200" s="100">
        <v>16</v>
      </c>
      <c r="F200" s="14">
        <v>17</v>
      </c>
      <c r="G200" s="136">
        <v>18</v>
      </c>
    </row>
    <row r="201" spans="1:9" x14ac:dyDescent="0.25">
      <c r="A201" s="130" t="s">
        <v>39</v>
      </c>
      <c r="B201" s="130" t="s">
        <v>40</v>
      </c>
      <c r="C201" s="130" t="s">
        <v>41</v>
      </c>
      <c r="D201" s="130" t="s">
        <v>56</v>
      </c>
      <c r="E201" s="100" t="s">
        <v>167</v>
      </c>
      <c r="F201" s="20"/>
      <c r="G201" s="138" t="s">
        <v>52</v>
      </c>
    </row>
    <row r="202" spans="1:9" x14ac:dyDescent="0.25">
      <c r="A202" s="132" t="s">
        <v>56</v>
      </c>
      <c r="B202" s="102" t="s">
        <v>38</v>
      </c>
      <c r="C202" s="132" t="s">
        <v>37</v>
      </c>
      <c r="D202" s="102" t="s">
        <v>57</v>
      </c>
      <c r="E202" s="100" t="s">
        <v>35</v>
      </c>
      <c r="F202" s="24" t="s">
        <v>125</v>
      </c>
      <c r="G202" s="139" t="s">
        <v>39</v>
      </c>
    </row>
    <row r="203" spans="1:9" x14ac:dyDescent="0.25">
      <c r="A203" s="14">
        <v>19</v>
      </c>
      <c r="B203" s="14">
        <v>20</v>
      </c>
      <c r="C203" s="14">
        <v>21</v>
      </c>
      <c r="D203" s="14">
        <v>22</v>
      </c>
      <c r="E203" s="154">
        <v>23</v>
      </c>
      <c r="F203" s="14">
        <v>24</v>
      </c>
      <c r="G203" s="136">
        <v>25</v>
      </c>
    </row>
    <row r="204" spans="1:9" x14ac:dyDescent="0.25">
      <c r="A204" s="130" t="s">
        <v>125</v>
      </c>
      <c r="B204" s="30" t="s">
        <v>124</v>
      </c>
      <c r="C204" s="130" t="s">
        <v>57</v>
      </c>
      <c r="D204" s="130" t="s">
        <v>35</v>
      </c>
      <c r="E204" s="117" t="s">
        <v>125</v>
      </c>
      <c r="F204" s="20"/>
      <c r="G204" s="138" t="s">
        <v>17</v>
      </c>
      <c r="I204" s="19" t="s">
        <v>191</v>
      </c>
    </row>
    <row r="205" spans="1:9" x14ac:dyDescent="0.25">
      <c r="A205" s="102" t="s">
        <v>41</v>
      </c>
      <c r="B205" s="132" t="s">
        <v>36</v>
      </c>
      <c r="C205" s="102" t="s">
        <v>124</v>
      </c>
      <c r="D205" s="102" t="s">
        <v>40</v>
      </c>
      <c r="E205" s="118" t="s">
        <v>29</v>
      </c>
      <c r="F205" s="24" t="s">
        <v>124</v>
      </c>
      <c r="G205" s="139" t="s">
        <v>35</v>
      </c>
    </row>
    <row r="206" spans="1:9" x14ac:dyDescent="0.25">
      <c r="A206" s="14">
        <v>26</v>
      </c>
      <c r="B206" s="14">
        <v>27</v>
      </c>
      <c r="C206" s="14">
        <v>28</v>
      </c>
      <c r="D206" s="14">
        <v>29</v>
      </c>
      <c r="E206" s="154">
        <v>30</v>
      </c>
      <c r="F206" s="14">
        <v>31</v>
      </c>
    </row>
    <row r="207" spans="1:9" x14ac:dyDescent="0.25">
      <c r="A207" s="30" t="s">
        <v>29</v>
      </c>
      <c r="B207" s="30" t="s">
        <v>36</v>
      </c>
      <c r="C207" s="130" t="s">
        <v>37</v>
      </c>
      <c r="D207" s="137" t="s">
        <v>35</v>
      </c>
      <c r="E207" s="117" t="s">
        <v>56</v>
      </c>
      <c r="F207" s="20"/>
    </row>
    <row r="208" spans="1:9" x14ac:dyDescent="0.25">
      <c r="A208" s="102" t="s">
        <v>125</v>
      </c>
      <c r="B208" s="102" t="s">
        <v>29</v>
      </c>
      <c r="C208" s="102" t="s">
        <v>35</v>
      </c>
      <c r="D208" s="102" t="s">
        <v>39</v>
      </c>
      <c r="E208" s="118" t="s">
        <v>36</v>
      </c>
      <c r="F208" s="24" t="s">
        <v>57</v>
      </c>
    </row>
    <row r="209" spans="1:17" x14ac:dyDescent="0.25">
      <c r="F209" s="1"/>
    </row>
    <row r="210" spans="1:17" x14ac:dyDescent="0.25">
      <c r="F210" s="1"/>
    </row>
    <row r="211" spans="1:17" x14ac:dyDescent="0.25">
      <c r="A211" s="7">
        <v>46600</v>
      </c>
      <c r="B211" s="50"/>
      <c r="C211" s="50"/>
      <c r="D211" s="50"/>
      <c r="E211" s="50"/>
      <c r="F211" s="51"/>
      <c r="G211" s="50"/>
    </row>
    <row r="212" spans="1:17" x14ac:dyDescent="0.25">
      <c r="A212" s="52" t="s">
        <v>8</v>
      </c>
      <c r="B212" s="52" t="s">
        <v>9</v>
      </c>
      <c r="C212" s="52" t="s">
        <v>10</v>
      </c>
      <c r="D212" s="52" t="s">
        <v>11</v>
      </c>
      <c r="E212" s="52" t="s">
        <v>12</v>
      </c>
      <c r="F212" s="54" t="s">
        <v>13</v>
      </c>
      <c r="G212" s="55" t="s">
        <v>14</v>
      </c>
    </row>
    <row r="213" spans="1:17" x14ac:dyDescent="0.25">
      <c r="A213" s="14"/>
      <c r="B213" s="14"/>
      <c r="C213" s="14"/>
      <c r="D213" s="14"/>
      <c r="E213" s="14"/>
      <c r="F213" s="14"/>
      <c r="G213" s="136">
        <v>1</v>
      </c>
    </row>
    <row r="214" spans="1:17" x14ac:dyDescent="0.25">
      <c r="A214" s="20"/>
      <c r="B214" s="20"/>
      <c r="C214" s="20"/>
      <c r="D214" s="20"/>
      <c r="E214" s="20"/>
      <c r="F214" s="20"/>
      <c r="G214" s="138" t="s">
        <v>53</v>
      </c>
      <c r="I214" s="44" t="s">
        <v>192</v>
      </c>
      <c r="J214" s="41"/>
    </row>
    <row r="215" spans="1:17" x14ac:dyDescent="0.25">
      <c r="A215" s="24"/>
      <c r="B215" s="24"/>
      <c r="C215" s="24"/>
      <c r="D215" s="24"/>
      <c r="E215" s="24"/>
      <c r="F215" s="24"/>
      <c r="G215" s="139" t="s">
        <v>56</v>
      </c>
    </row>
    <row r="216" spans="1:17" x14ac:dyDescent="0.25">
      <c r="A216" s="14">
        <v>2</v>
      </c>
      <c r="B216" s="14">
        <v>3</v>
      </c>
      <c r="C216" s="14">
        <v>4</v>
      </c>
      <c r="D216" s="14">
        <v>5</v>
      </c>
      <c r="E216" s="15">
        <v>6</v>
      </c>
      <c r="F216" s="14">
        <v>7</v>
      </c>
      <c r="G216" s="136">
        <v>8</v>
      </c>
    </row>
    <row r="217" spans="1:17" x14ac:dyDescent="0.25">
      <c r="A217" s="130" t="s">
        <v>38</v>
      </c>
      <c r="B217" s="130" t="s">
        <v>39</v>
      </c>
      <c r="C217" s="130" t="s">
        <v>40</v>
      </c>
      <c r="D217" s="130" t="s">
        <v>41</v>
      </c>
      <c r="E217" s="100" t="s">
        <v>125</v>
      </c>
      <c r="F217" s="20"/>
      <c r="G217" s="138" t="s">
        <v>54</v>
      </c>
    </row>
    <row r="218" spans="1:17" x14ac:dyDescent="0.25">
      <c r="A218" s="132" t="s">
        <v>56</v>
      </c>
      <c r="B218" s="102" t="s">
        <v>38</v>
      </c>
      <c r="C218" s="132" t="s">
        <v>37</v>
      </c>
      <c r="D218" s="102" t="s">
        <v>57</v>
      </c>
      <c r="E218" s="100" t="s">
        <v>37</v>
      </c>
      <c r="F218" s="24" t="s">
        <v>38</v>
      </c>
      <c r="G218" s="139" t="s">
        <v>38</v>
      </c>
      <c r="I218" s="41" t="s">
        <v>129</v>
      </c>
      <c r="J218" s="41"/>
      <c r="K218" s="41"/>
      <c r="L218" s="41"/>
      <c r="M218" s="41"/>
      <c r="N218" s="41"/>
      <c r="O218" s="41"/>
      <c r="P218" s="41"/>
      <c r="Q218" s="41"/>
    </row>
    <row r="219" spans="1:17" x14ac:dyDescent="0.25">
      <c r="A219" s="14">
        <v>9</v>
      </c>
      <c r="B219" s="14">
        <v>10</v>
      </c>
      <c r="C219" s="14">
        <v>11</v>
      </c>
      <c r="D219" s="14">
        <v>12</v>
      </c>
      <c r="E219" s="104">
        <v>13</v>
      </c>
      <c r="F219" s="105">
        <v>14</v>
      </c>
      <c r="G219" s="58">
        <v>15</v>
      </c>
    </row>
    <row r="220" spans="1:17" x14ac:dyDescent="0.25">
      <c r="A220" s="130" t="s">
        <v>56</v>
      </c>
      <c r="B220" s="130" t="s">
        <v>125</v>
      </c>
      <c r="C220" s="130" t="s">
        <v>124</v>
      </c>
      <c r="D220" s="130" t="s">
        <v>57</v>
      </c>
      <c r="E220" s="107"/>
      <c r="F220" s="108"/>
      <c r="G220" s="60" t="s">
        <v>26</v>
      </c>
    </row>
    <row r="221" spans="1:17" x14ac:dyDescent="0.25">
      <c r="A221" s="130" t="s">
        <v>29</v>
      </c>
      <c r="B221" s="130" t="s">
        <v>39</v>
      </c>
      <c r="C221" s="130" t="s">
        <v>125</v>
      </c>
      <c r="D221" s="130" t="s">
        <v>52</v>
      </c>
      <c r="E221" s="110" t="s">
        <v>186</v>
      </c>
      <c r="F221" s="135"/>
      <c r="G221" s="66" t="s">
        <v>50</v>
      </c>
    </row>
    <row r="222" spans="1:17" x14ac:dyDescent="0.25">
      <c r="A222" s="14">
        <v>16</v>
      </c>
      <c r="B222" s="14">
        <v>17</v>
      </c>
      <c r="C222" s="14">
        <v>18</v>
      </c>
      <c r="D222" s="14">
        <v>19</v>
      </c>
      <c r="E222" s="15">
        <v>20</v>
      </c>
      <c r="F222" s="14">
        <v>21</v>
      </c>
      <c r="G222" s="136">
        <v>22</v>
      </c>
    </row>
    <row r="223" spans="1:17" x14ac:dyDescent="0.25">
      <c r="A223" s="130" t="s">
        <v>35</v>
      </c>
      <c r="B223" s="130" t="s">
        <v>29</v>
      </c>
      <c r="C223" s="130" t="s">
        <v>36</v>
      </c>
      <c r="D223" s="130" t="s">
        <v>38</v>
      </c>
      <c r="E223" s="100" t="s">
        <v>186</v>
      </c>
      <c r="F223" s="20"/>
      <c r="G223" s="157" t="s">
        <v>19</v>
      </c>
    </row>
    <row r="224" spans="1:17" x14ac:dyDescent="0.25">
      <c r="A224" s="130" t="s">
        <v>56</v>
      </c>
      <c r="B224" s="130" t="s">
        <v>35</v>
      </c>
      <c r="C224" s="130" t="s">
        <v>37</v>
      </c>
      <c r="D224" s="130" t="s">
        <v>55</v>
      </c>
      <c r="E224" s="100" t="s">
        <v>56</v>
      </c>
      <c r="F224" s="24" t="s">
        <v>39</v>
      </c>
      <c r="G224" s="139" t="s">
        <v>37</v>
      </c>
    </row>
    <row r="225" spans="1:25" x14ac:dyDescent="0.25">
      <c r="A225" s="14">
        <v>23</v>
      </c>
      <c r="B225" s="14">
        <v>24</v>
      </c>
      <c r="C225" s="14">
        <v>25</v>
      </c>
      <c r="D225" s="14">
        <v>26</v>
      </c>
      <c r="E225" s="154">
        <v>27</v>
      </c>
      <c r="F225" s="14">
        <v>28</v>
      </c>
      <c r="G225" s="136">
        <v>29</v>
      </c>
    </row>
    <row r="226" spans="1:25" x14ac:dyDescent="0.25">
      <c r="A226" s="130" t="s">
        <v>52</v>
      </c>
      <c r="B226" s="130" t="s">
        <v>53</v>
      </c>
      <c r="C226" s="130" t="s">
        <v>54</v>
      </c>
      <c r="D226" s="130" t="s">
        <v>55</v>
      </c>
      <c r="E226" s="117" t="s">
        <v>38</v>
      </c>
      <c r="F226" s="20"/>
      <c r="G226" s="157" t="s">
        <v>19</v>
      </c>
    </row>
    <row r="227" spans="1:25" x14ac:dyDescent="0.25">
      <c r="A227" s="130" t="s">
        <v>40</v>
      </c>
      <c r="B227" s="130" t="s">
        <v>57</v>
      </c>
      <c r="C227" s="132" t="s">
        <v>41</v>
      </c>
      <c r="D227" s="132" t="s">
        <v>38</v>
      </c>
      <c r="E227" s="118" t="s">
        <v>125</v>
      </c>
      <c r="F227" s="24" t="s">
        <v>40</v>
      </c>
      <c r="G227" s="139" t="s">
        <v>57</v>
      </c>
    </row>
    <row r="228" spans="1:25" x14ac:dyDescent="0.25">
      <c r="A228" s="14">
        <v>30</v>
      </c>
      <c r="B228" s="14">
        <v>31</v>
      </c>
      <c r="C228" s="13"/>
      <c r="D228" s="13"/>
      <c r="E228" s="13"/>
      <c r="F228" s="1"/>
      <c r="G228" s="13"/>
    </row>
    <row r="229" spans="1:25" x14ac:dyDescent="0.25">
      <c r="A229" s="137" t="s">
        <v>29</v>
      </c>
      <c r="B229" s="130" t="s">
        <v>54</v>
      </c>
      <c r="C229" s="1"/>
      <c r="D229" s="1"/>
      <c r="E229" s="1"/>
      <c r="F229" s="1"/>
      <c r="G229" s="13"/>
    </row>
    <row r="230" spans="1:25" x14ac:dyDescent="0.25">
      <c r="A230" s="132" t="s">
        <v>36</v>
      </c>
      <c r="B230" s="132" t="s">
        <v>124</v>
      </c>
      <c r="D230" s="13"/>
      <c r="E230" s="13"/>
      <c r="F230" s="1"/>
      <c r="G230" s="13"/>
    </row>
    <row r="231" spans="1:25" x14ac:dyDescent="0.25">
      <c r="A231" s="13"/>
      <c r="B231" s="13"/>
      <c r="C231" s="13"/>
      <c r="D231" s="13"/>
      <c r="E231" s="13"/>
      <c r="F231" s="1"/>
      <c r="G231" s="13"/>
    </row>
    <row r="232" spans="1:25" x14ac:dyDescent="0.25">
      <c r="A232" s="13"/>
      <c r="B232" s="13"/>
      <c r="C232" s="13"/>
      <c r="D232" s="13"/>
      <c r="E232" s="13"/>
      <c r="F232" s="1"/>
      <c r="G232" s="13"/>
    </row>
    <row r="233" spans="1:25" x14ac:dyDescent="0.25">
      <c r="F233" s="1"/>
    </row>
    <row r="234" spans="1:25" x14ac:dyDescent="0.25">
      <c r="A234" s="7">
        <v>46631</v>
      </c>
      <c r="F234" s="1"/>
    </row>
    <row r="235" spans="1:25" x14ac:dyDescent="0.25">
      <c r="A235" s="52" t="s">
        <v>8</v>
      </c>
      <c r="B235" s="52" t="s">
        <v>9</v>
      </c>
      <c r="C235" s="52" t="s">
        <v>10</v>
      </c>
      <c r="D235" s="52" t="s">
        <v>11</v>
      </c>
      <c r="E235" s="52" t="s">
        <v>12</v>
      </c>
      <c r="F235" s="54" t="s">
        <v>13</v>
      </c>
      <c r="G235" s="55" t="s">
        <v>14</v>
      </c>
    </row>
    <row r="236" spans="1:25" x14ac:dyDescent="0.25">
      <c r="A236" s="14"/>
      <c r="B236" s="14"/>
      <c r="C236" s="14">
        <v>1</v>
      </c>
      <c r="D236" s="57">
        <v>2</v>
      </c>
      <c r="E236" s="15">
        <v>3</v>
      </c>
      <c r="F236" s="14">
        <v>4</v>
      </c>
      <c r="G236" s="136">
        <v>5</v>
      </c>
    </row>
    <row r="237" spans="1:25" x14ac:dyDescent="0.25">
      <c r="A237" s="20"/>
      <c r="B237" s="21"/>
      <c r="C237" s="99" t="s">
        <v>39</v>
      </c>
      <c r="D237" s="99" t="s">
        <v>40</v>
      </c>
      <c r="E237" s="100" t="s">
        <v>39</v>
      </c>
      <c r="F237" s="20"/>
      <c r="G237" s="138" t="s">
        <v>66</v>
      </c>
    </row>
    <row r="238" spans="1:25" x14ac:dyDescent="0.25">
      <c r="A238" s="24"/>
      <c r="B238" s="24"/>
      <c r="C238" s="102" t="s">
        <v>37</v>
      </c>
      <c r="D238" s="102" t="s">
        <v>53</v>
      </c>
      <c r="E238" s="100" t="s">
        <v>186</v>
      </c>
      <c r="F238" s="24" t="s">
        <v>41</v>
      </c>
      <c r="G238" s="139" t="s">
        <v>41</v>
      </c>
    </row>
    <row r="239" spans="1:25" x14ac:dyDescent="0.25">
      <c r="A239" s="14">
        <v>6</v>
      </c>
      <c r="B239" s="57">
        <v>7</v>
      </c>
      <c r="C239" s="57">
        <v>8</v>
      </c>
      <c r="D239" s="57">
        <v>9</v>
      </c>
      <c r="E239" s="104">
        <v>10</v>
      </c>
      <c r="F239" s="58">
        <v>11</v>
      </c>
      <c r="G239" s="136">
        <v>12</v>
      </c>
    </row>
    <row r="240" spans="1:25" x14ac:dyDescent="0.25">
      <c r="A240" s="130" t="s">
        <v>41</v>
      </c>
      <c r="B240" s="114" t="s">
        <v>56</v>
      </c>
      <c r="C240" s="114" t="s">
        <v>125</v>
      </c>
      <c r="D240" s="114" t="s">
        <v>124</v>
      </c>
      <c r="E240" s="158" t="s">
        <v>39</v>
      </c>
      <c r="F240" s="60" t="s">
        <v>25</v>
      </c>
      <c r="G240" s="138" t="s">
        <v>163</v>
      </c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</row>
    <row r="241" spans="1:7" x14ac:dyDescent="0.25">
      <c r="A241" s="159" t="s">
        <v>29</v>
      </c>
      <c r="B241" s="159" t="s">
        <v>125</v>
      </c>
      <c r="C241" s="159" t="s">
        <v>39</v>
      </c>
      <c r="D241" s="159" t="s">
        <v>52</v>
      </c>
      <c r="E241" s="110" t="s">
        <v>38</v>
      </c>
      <c r="F241" s="66" t="s">
        <v>38</v>
      </c>
      <c r="G241" s="139" t="s">
        <v>36</v>
      </c>
    </row>
    <row r="242" spans="1:7" x14ac:dyDescent="0.25">
      <c r="A242" s="14">
        <v>13</v>
      </c>
      <c r="B242" s="57">
        <v>14</v>
      </c>
      <c r="C242" s="57">
        <v>15</v>
      </c>
      <c r="D242" s="14">
        <v>16</v>
      </c>
      <c r="E242" s="15">
        <v>17</v>
      </c>
      <c r="F242" s="14">
        <v>18</v>
      </c>
      <c r="G242" s="136">
        <v>19</v>
      </c>
    </row>
    <row r="243" spans="1:7" x14ac:dyDescent="0.25">
      <c r="A243" s="130" t="s">
        <v>37</v>
      </c>
      <c r="B243" s="114" t="s">
        <v>193</v>
      </c>
      <c r="C243" s="114" t="s">
        <v>194</v>
      </c>
      <c r="D243" s="130" t="s">
        <v>57</v>
      </c>
      <c r="E243" s="117" t="s">
        <v>40</v>
      </c>
      <c r="F243" s="20"/>
      <c r="G243" s="138" t="s">
        <v>72</v>
      </c>
    </row>
    <row r="244" spans="1:7" x14ac:dyDescent="0.25">
      <c r="A244" s="159" t="s">
        <v>35</v>
      </c>
      <c r="B244" s="159" t="s">
        <v>56</v>
      </c>
      <c r="C244" s="30" t="s">
        <v>38</v>
      </c>
      <c r="D244" s="159" t="s">
        <v>55</v>
      </c>
      <c r="E244" s="118" t="s">
        <v>57</v>
      </c>
      <c r="F244" s="24" t="s">
        <v>35</v>
      </c>
      <c r="G244" s="139" t="s">
        <v>124</v>
      </c>
    </row>
    <row r="245" spans="1:7" x14ac:dyDescent="0.25">
      <c r="A245" s="14">
        <v>20</v>
      </c>
      <c r="B245" s="14">
        <v>21</v>
      </c>
      <c r="C245" s="57">
        <v>22</v>
      </c>
      <c r="D245" s="104">
        <v>23</v>
      </c>
      <c r="E245" s="58">
        <v>24</v>
      </c>
      <c r="F245" s="105">
        <v>25</v>
      </c>
      <c r="G245" s="58">
        <v>26</v>
      </c>
    </row>
    <row r="246" spans="1:7" x14ac:dyDescent="0.25">
      <c r="A246" s="130" t="s">
        <v>195</v>
      </c>
      <c r="B246" s="130" t="s">
        <v>52</v>
      </c>
      <c r="C246" s="114" t="s">
        <v>53</v>
      </c>
      <c r="D246" s="107"/>
      <c r="E246" s="60" t="s">
        <v>183</v>
      </c>
      <c r="F246" s="108"/>
      <c r="G246" s="60"/>
    </row>
    <row r="247" spans="1:7" x14ac:dyDescent="0.25">
      <c r="A247" s="159" t="s">
        <v>37</v>
      </c>
      <c r="B247" s="132" t="s">
        <v>57</v>
      </c>
      <c r="C247" s="30" t="s">
        <v>41</v>
      </c>
      <c r="D247" s="110" t="s">
        <v>56</v>
      </c>
      <c r="E247" s="66" t="s">
        <v>56</v>
      </c>
      <c r="F247" s="135" t="s">
        <v>183</v>
      </c>
      <c r="G247" s="66" t="s">
        <v>56</v>
      </c>
    </row>
    <row r="248" spans="1:7" x14ac:dyDescent="0.25">
      <c r="A248" s="14">
        <v>27</v>
      </c>
      <c r="B248" s="14">
        <v>28</v>
      </c>
      <c r="C248" s="57">
        <v>29</v>
      </c>
      <c r="D248" s="14">
        <v>30</v>
      </c>
      <c r="E248" s="13"/>
      <c r="F248" s="13"/>
      <c r="G248" s="13"/>
    </row>
    <row r="249" spans="1:7" x14ac:dyDescent="0.25">
      <c r="A249" s="130" t="s">
        <v>38</v>
      </c>
      <c r="B249" s="130" t="s">
        <v>55</v>
      </c>
      <c r="C249" s="137" t="s">
        <v>36</v>
      </c>
      <c r="D249" s="130" t="s">
        <v>54</v>
      </c>
      <c r="E249" s="13"/>
      <c r="F249" s="13"/>
      <c r="G249" s="13"/>
    </row>
    <row r="250" spans="1:7" x14ac:dyDescent="0.25">
      <c r="A250" s="132" t="s">
        <v>54</v>
      </c>
      <c r="B250" s="132" t="s">
        <v>36</v>
      </c>
      <c r="C250" s="132" t="s">
        <v>124</v>
      </c>
      <c r="D250" s="132" t="s">
        <v>40</v>
      </c>
      <c r="E250" s="13"/>
      <c r="F250" s="13"/>
      <c r="G250" s="13"/>
    </row>
    <row r="251" spans="1:7" x14ac:dyDescent="0.25">
      <c r="F251" s="1"/>
    </row>
  </sheetData>
  <mergeCells count="2">
    <mergeCell ref="L38:N38"/>
    <mergeCell ref="P50:R5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0"/>
  <sheetViews>
    <sheetView zoomScale="95" zoomScaleNormal="95" workbookViewId="0">
      <selection activeCell="J34" sqref="J34"/>
    </sheetView>
  </sheetViews>
  <sheetFormatPr defaultColWidth="8.5546875" defaultRowHeight="15" customHeight="1" x14ac:dyDescent="0.2"/>
  <cols>
    <col min="1" max="1" width="15.44140625" style="160" customWidth="1"/>
    <col min="2" max="2" width="33.33203125" style="160" customWidth="1"/>
    <col min="3" max="3" width="10.5546875" style="160" customWidth="1"/>
    <col min="4" max="4" width="12.109375" style="160" customWidth="1"/>
    <col min="5" max="5" width="14.33203125" style="160" customWidth="1"/>
    <col min="6" max="6" width="21.109375" style="160" customWidth="1"/>
    <col min="7" max="7" width="10.5546875" customWidth="1"/>
    <col min="8" max="8" width="28.44140625" customWidth="1"/>
    <col min="9" max="9" width="20.6640625" customWidth="1"/>
    <col min="10" max="10" width="23.6640625" customWidth="1"/>
    <col min="11" max="11" width="10.5546875" customWidth="1"/>
    <col min="12" max="12" width="18.21875" customWidth="1"/>
    <col min="13" max="13" width="13.21875" customWidth="1"/>
    <col min="14" max="1025" width="10.5546875" customWidth="1"/>
  </cols>
  <sheetData>
    <row r="3" spans="1:13" s="163" customFormat="1" ht="25.5" customHeight="1" x14ac:dyDescent="0.2">
      <c r="A3" s="161"/>
      <c r="B3" s="162" t="s">
        <v>196</v>
      </c>
      <c r="C3" s="162" t="s">
        <v>197</v>
      </c>
      <c r="D3" s="162" t="s">
        <v>198</v>
      </c>
      <c r="E3" s="162" t="s">
        <v>199</v>
      </c>
      <c r="F3" s="162" t="s">
        <v>200</v>
      </c>
      <c r="G3" s="162"/>
      <c r="H3" s="162" t="s">
        <v>201</v>
      </c>
      <c r="I3" s="162" t="s">
        <v>202</v>
      </c>
      <c r="J3" s="162" t="s">
        <v>203</v>
      </c>
      <c r="K3" s="162" t="s">
        <v>204</v>
      </c>
      <c r="L3" s="162" t="s">
        <v>205</v>
      </c>
      <c r="M3" s="162" t="s">
        <v>206</v>
      </c>
    </row>
    <row r="4" spans="1:13" x14ac:dyDescent="0.2">
      <c r="A4" s="164" t="s">
        <v>193</v>
      </c>
      <c r="B4" s="164">
        <v>27</v>
      </c>
      <c r="C4" s="164">
        <v>6</v>
      </c>
      <c r="D4" s="164">
        <v>3</v>
      </c>
      <c r="E4" s="164">
        <v>4</v>
      </c>
      <c r="F4" s="164">
        <v>1</v>
      </c>
      <c r="H4">
        <f>C4+B4</f>
        <v>33</v>
      </c>
      <c r="I4">
        <f>H4*6.5</f>
        <v>214.5</v>
      </c>
    </row>
    <row r="5" spans="1:13" x14ac:dyDescent="0.2">
      <c r="A5" s="164" t="s">
        <v>194</v>
      </c>
      <c r="B5" s="164">
        <v>27</v>
      </c>
      <c r="C5" s="164">
        <v>6</v>
      </c>
      <c r="D5" s="164">
        <v>2</v>
      </c>
      <c r="E5" s="164">
        <v>4</v>
      </c>
      <c r="F5" s="164">
        <v>1</v>
      </c>
      <c r="H5">
        <f>C5+B5</f>
        <v>33</v>
      </c>
      <c r="I5">
        <f>H5*6.5</f>
        <v>214.5</v>
      </c>
    </row>
    <row r="6" spans="1:13" x14ac:dyDescent="0.2">
      <c r="A6" s="164" t="s">
        <v>195</v>
      </c>
      <c r="B6" s="164">
        <v>26</v>
      </c>
      <c r="C6" s="164">
        <v>7</v>
      </c>
      <c r="D6" s="164">
        <v>3</v>
      </c>
      <c r="E6" s="164">
        <v>4</v>
      </c>
      <c r="F6" s="164">
        <v>1</v>
      </c>
      <c r="H6">
        <f>C6+B6</f>
        <v>33</v>
      </c>
      <c r="I6">
        <f>H6*6.5</f>
        <v>214.5</v>
      </c>
    </row>
    <row r="7" spans="1:13" x14ac:dyDescent="0.2">
      <c r="A7" s="164" t="s">
        <v>207</v>
      </c>
      <c r="B7" s="164">
        <v>27</v>
      </c>
      <c r="C7" s="164">
        <v>7</v>
      </c>
      <c r="D7" s="164">
        <v>3</v>
      </c>
      <c r="E7" s="164">
        <v>4</v>
      </c>
      <c r="F7" s="164">
        <v>1</v>
      </c>
      <c r="H7">
        <f>C7+B7</f>
        <v>34</v>
      </c>
      <c r="I7">
        <f>H7*6.5</f>
        <v>221</v>
      </c>
    </row>
    <row r="8" spans="1:13" x14ac:dyDescent="0.2">
      <c r="A8" s="164"/>
      <c r="B8" s="164"/>
      <c r="D8" s="164"/>
      <c r="E8" s="164"/>
      <c r="F8" s="164"/>
    </row>
    <row r="9" spans="1:13" ht="15" customHeight="1" x14ac:dyDescent="0.2">
      <c r="A9" s="164"/>
      <c r="B9" s="165" t="s">
        <v>196</v>
      </c>
      <c r="C9" s="165" t="s">
        <v>197</v>
      </c>
      <c r="D9" s="165" t="s">
        <v>198</v>
      </c>
      <c r="E9" s="165" t="s">
        <v>199</v>
      </c>
      <c r="F9" s="165" t="s">
        <v>200</v>
      </c>
      <c r="G9" s="165"/>
    </row>
    <row r="10" spans="1:13" x14ac:dyDescent="0.2">
      <c r="A10" s="164" t="s">
        <v>72</v>
      </c>
      <c r="B10" s="164">
        <v>27</v>
      </c>
      <c r="C10" s="164">
        <v>6</v>
      </c>
      <c r="D10" s="164">
        <v>3</v>
      </c>
      <c r="E10" s="164">
        <v>3</v>
      </c>
      <c r="F10" s="164">
        <v>4</v>
      </c>
      <c r="H10">
        <f>C10+B10</f>
        <v>33</v>
      </c>
      <c r="I10">
        <f>H10*6.5</f>
        <v>214.5</v>
      </c>
      <c r="J10">
        <v>4</v>
      </c>
      <c r="K10">
        <f>H10+J10</f>
        <v>37</v>
      </c>
      <c r="L10">
        <f>(D10+F10)*12+(E10*7)</f>
        <v>105</v>
      </c>
      <c r="M10" s="166">
        <f>(L10+I10+(J10*6.5))/12</f>
        <v>28.791666666666668</v>
      </c>
    </row>
    <row r="11" spans="1:13" x14ac:dyDescent="0.2">
      <c r="A11" s="164" t="s">
        <v>208</v>
      </c>
      <c r="B11" s="164">
        <v>27</v>
      </c>
      <c r="C11" s="164">
        <v>7</v>
      </c>
      <c r="D11" s="164">
        <v>3</v>
      </c>
      <c r="E11" s="164">
        <v>3</v>
      </c>
      <c r="F11" s="164">
        <v>4</v>
      </c>
      <c r="H11">
        <f>C11+B11</f>
        <v>34</v>
      </c>
      <c r="I11">
        <f>H11*6.5</f>
        <v>221</v>
      </c>
      <c r="J11">
        <v>4</v>
      </c>
      <c r="K11">
        <f>H11+J11</f>
        <v>38</v>
      </c>
      <c r="L11">
        <f>(D11+F11)*12+(E11*7)</f>
        <v>105</v>
      </c>
      <c r="M11" s="166">
        <f>(L11+I11+(J11*6.5))/12</f>
        <v>29.333333333333332</v>
      </c>
    </row>
    <row r="12" spans="1:13" x14ac:dyDescent="0.2">
      <c r="A12" s="164" t="s">
        <v>19</v>
      </c>
      <c r="B12" s="164">
        <v>27</v>
      </c>
      <c r="C12" s="164">
        <v>7</v>
      </c>
      <c r="D12" s="164">
        <v>3</v>
      </c>
      <c r="E12" s="164">
        <v>4</v>
      </c>
      <c r="F12" s="164">
        <v>4</v>
      </c>
      <c r="H12">
        <f>C12+B12</f>
        <v>34</v>
      </c>
      <c r="I12">
        <f>H12*6.5</f>
        <v>221</v>
      </c>
      <c r="J12">
        <v>4</v>
      </c>
      <c r="K12">
        <f>H12+J12</f>
        <v>38</v>
      </c>
      <c r="L12">
        <f>(D12+F12)*12+(E12*7)</f>
        <v>112</v>
      </c>
      <c r="M12" s="166">
        <f>(L12+I12+(J12*6.5))/12</f>
        <v>29.916666666666668</v>
      </c>
    </row>
    <row r="13" spans="1:13" x14ac:dyDescent="0.2">
      <c r="A13" s="164" t="s">
        <v>69</v>
      </c>
      <c r="B13" s="164">
        <v>26</v>
      </c>
      <c r="C13" s="164">
        <v>7</v>
      </c>
      <c r="D13" s="164">
        <v>3</v>
      </c>
      <c r="E13" s="164">
        <v>3</v>
      </c>
      <c r="F13" s="164">
        <v>5</v>
      </c>
      <c r="H13">
        <f>C13+B13</f>
        <v>33</v>
      </c>
      <c r="I13">
        <f>H13*6.5</f>
        <v>214.5</v>
      </c>
      <c r="J13">
        <v>4</v>
      </c>
      <c r="K13">
        <f>H13+J13</f>
        <v>37</v>
      </c>
      <c r="L13">
        <f>(D13+F13)*12+(E13*7)</f>
        <v>117</v>
      </c>
      <c r="M13" s="166">
        <f>(L13+I13+(J13*6.5))/12</f>
        <v>29.791666666666668</v>
      </c>
    </row>
    <row r="14" spans="1:13" x14ac:dyDescent="0.2">
      <c r="A14" s="164"/>
      <c r="B14" s="164"/>
      <c r="D14" s="164"/>
      <c r="E14" s="164"/>
      <c r="F14" s="164"/>
      <c r="M14" s="166"/>
    </row>
    <row r="15" spans="1:13" ht="14.25" customHeight="1" x14ac:dyDescent="0.2">
      <c r="A15" s="164"/>
      <c r="B15" s="165" t="s">
        <v>196</v>
      </c>
      <c r="C15" s="165" t="s">
        <v>197</v>
      </c>
      <c r="D15" s="165" t="s">
        <v>198</v>
      </c>
      <c r="E15" s="165" t="s">
        <v>199</v>
      </c>
      <c r="F15" s="165" t="s">
        <v>200</v>
      </c>
      <c r="G15" s="165"/>
      <c r="M15" s="166"/>
    </row>
    <row r="16" spans="1:13" x14ac:dyDescent="0.2">
      <c r="A16" s="164" t="s">
        <v>26</v>
      </c>
      <c r="B16" s="164">
        <v>28</v>
      </c>
      <c r="C16" s="164">
        <v>4</v>
      </c>
      <c r="D16" s="164">
        <v>3</v>
      </c>
      <c r="E16" s="164">
        <v>2</v>
      </c>
      <c r="F16" s="164">
        <v>4</v>
      </c>
      <c r="H16">
        <f>C16+B16</f>
        <v>32</v>
      </c>
      <c r="I16">
        <f>H16*6.5</f>
        <v>208</v>
      </c>
      <c r="J16">
        <v>7</v>
      </c>
      <c r="K16">
        <f>H16+J16</f>
        <v>39</v>
      </c>
      <c r="L16">
        <f>(D16+F16)*12+(E16*7)</f>
        <v>98</v>
      </c>
      <c r="M16" s="166">
        <f>(L16+I16+(J16*6.5))/12</f>
        <v>29.291666666666668</v>
      </c>
    </row>
    <row r="17" spans="1:13" x14ac:dyDescent="0.2">
      <c r="A17" s="164" t="s">
        <v>18</v>
      </c>
      <c r="B17" s="164">
        <v>26</v>
      </c>
      <c r="C17" s="164">
        <v>4</v>
      </c>
      <c r="D17" s="164">
        <v>3</v>
      </c>
      <c r="E17" s="164">
        <v>2</v>
      </c>
      <c r="F17" s="164">
        <v>4</v>
      </c>
      <c r="H17">
        <f>C17+B17</f>
        <v>30</v>
      </c>
      <c r="I17">
        <f>H17*6.5</f>
        <v>195</v>
      </c>
      <c r="J17">
        <v>8</v>
      </c>
      <c r="K17">
        <f>H17+J17</f>
        <v>38</v>
      </c>
      <c r="L17">
        <f>(D17+F17)*12+(E17*7)</f>
        <v>98</v>
      </c>
      <c r="M17" s="166">
        <f>(L17+I17+(J17*6.5))/12</f>
        <v>28.75</v>
      </c>
    </row>
    <row r="18" spans="1:13" x14ac:dyDescent="0.2">
      <c r="A18" s="164" t="s">
        <v>17</v>
      </c>
      <c r="B18" s="164">
        <v>26</v>
      </c>
      <c r="C18" s="164">
        <v>4</v>
      </c>
      <c r="D18" s="164">
        <v>3</v>
      </c>
      <c r="E18" s="164">
        <v>2</v>
      </c>
      <c r="F18" s="164">
        <v>4</v>
      </c>
      <c r="H18">
        <f>C18+B18</f>
        <v>30</v>
      </c>
      <c r="I18">
        <f>H18*6.5</f>
        <v>195</v>
      </c>
      <c r="J18">
        <v>7</v>
      </c>
      <c r="K18">
        <f>H18+J18</f>
        <v>37</v>
      </c>
      <c r="L18">
        <f>(D18+F18)*12+(E18*7)</f>
        <v>98</v>
      </c>
      <c r="M18" s="166">
        <f>(L18+I18+(J18*6.5))/12</f>
        <v>28.208333333333332</v>
      </c>
    </row>
    <row r="19" spans="1:13" x14ac:dyDescent="0.2">
      <c r="A19" s="164" t="s">
        <v>25</v>
      </c>
      <c r="B19" s="164">
        <v>27</v>
      </c>
      <c r="C19" s="164">
        <v>5</v>
      </c>
      <c r="D19" s="164">
        <v>3</v>
      </c>
      <c r="E19" s="164">
        <v>2</v>
      </c>
      <c r="F19" s="164">
        <v>4</v>
      </c>
      <c r="H19">
        <f>C19+B19</f>
        <v>32</v>
      </c>
      <c r="I19">
        <f>H19*6.5</f>
        <v>208</v>
      </c>
      <c r="J19">
        <v>7</v>
      </c>
      <c r="K19">
        <f>H19+J19</f>
        <v>39</v>
      </c>
      <c r="L19">
        <f>(D19+F19)*12+(E19*7)</f>
        <v>98</v>
      </c>
      <c r="M19" s="166">
        <f>(L19+I19+(J19*6.5))/12</f>
        <v>29.291666666666668</v>
      </c>
    </row>
    <row r="20" spans="1:13" x14ac:dyDescent="0.2">
      <c r="A20" s="164"/>
      <c r="B20" s="164"/>
      <c r="D20" s="164"/>
      <c r="E20" s="164"/>
      <c r="F20" s="164"/>
      <c r="M20" s="166"/>
    </row>
    <row r="21" spans="1:13" ht="12.75" customHeight="1" x14ac:dyDescent="0.2">
      <c r="A21" s="164"/>
      <c r="B21" s="165" t="s">
        <v>196</v>
      </c>
      <c r="C21" s="165" t="s">
        <v>197</v>
      </c>
      <c r="D21" s="165" t="s">
        <v>198</v>
      </c>
      <c r="E21" s="165" t="s">
        <v>199</v>
      </c>
      <c r="F21" s="165" t="s">
        <v>200</v>
      </c>
      <c r="G21" s="165"/>
      <c r="M21" s="166"/>
    </row>
    <row r="22" spans="1:13" x14ac:dyDescent="0.2">
      <c r="A22" s="164" t="s">
        <v>27</v>
      </c>
      <c r="B22" s="164">
        <v>16</v>
      </c>
      <c r="C22" s="164">
        <v>4</v>
      </c>
      <c r="D22" s="164">
        <v>2</v>
      </c>
      <c r="E22" s="164">
        <v>1</v>
      </c>
      <c r="F22" s="164">
        <v>2</v>
      </c>
      <c r="H22">
        <f>C22+B22</f>
        <v>20</v>
      </c>
      <c r="I22">
        <f>H22*6.5</f>
        <v>130</v>
      </c>
      <c r="J22">
        <v>5</v>
      </c>
      <c r="K22">
        <f>H22+J22</f>
        <v>25</v>
      </c>
      <c r="L22">
        <f>((D22+F22)*12)+(E22*7)</f>
        <v>55</v>
      </c>
      <c r="M22" s="166">
        <f>(L22+I22+(J22*6.5))/8</f>
        <v>27.1875</v>
      </c>
    </row>
    <row r="23" spans="1:13" x14ac:dyDescent="0.2">
      <c r="A23" s="164" t="s">
        <v>28</v>
      </c>
      <c r="B23" s="160">
        <v>16</v>
      </c>
      <c r="C23" s="160">
        <v>4</v>
      </c>
      <c r="D23" s="160">
        <v>2</v>
      </c>
      <c r="E23" s="160">
        <v>1</v>
      </c>
      <c r="F23" s="160">
        <v>2</v>
      </c>
      <c r="H23">
        <f>C23+B23</f>
        <v>20</v>
      </c>
      <c r="I23">
        <f>H23*6.5</f>
        <v>130</v>
      </c>
      <c r="J23">
        <v>5</v>
      </c>
      <c r="K23">
        <f>H23+J23</f>
        <v>25</v>
      </c>
      <c r="L23">
        <f>(D23+F23)*12+(E23*7)</f>
        <v>55</v>
      </c>
      <c r="M23" s="166">
        <f>(L23+I23+(J23*6.5))/8</f>
        <v>27.1875</v>
      </c>
    </row>
    <row r="24" spans="1:13" x14ac:dyDescent="0.2">
      <c r="A24" s="164" t="s">
        <v>162</v>
      </c>
      <c r="B24" s="164">
        <v>16</v>
      </c>
      <c r="C24" s="164">
        <v>4</v>
      </c>
      <c r="D24" s="164">
        <v>2</v>
      </c>
      <c r="E24" s="164">
        <v>1</v>
      </c>
      <c r="F24" s="164">
        <v>2</v>
      </c>
      <c r="H24">
        <f>C24+B24</f>
        <v>20</v>
      </c>
      <c r="I24">
        <f>H24*6.5</f>
        <v>130</v>
      </c>
      <c r="J24">
        <v>5</v>
      </c>
      <c r="K24">
        <f>H24+J24</f>
        <v>25</v>
      </c>
      <c r="L24">
        <f>(D24+F24)*12+(E24*7)</f>
        <v>55</v>
      </c>
      <c r="M24" s="166">
        <f>(L24+I24+(J24*6.5))/8</f>
        <v>27.1875</v>
      </c>
    </row>
    <row r="28" spans="1:13" ht="15" customHeight="1" x14ac:dyDescent="0.2">
      <c r="B28" s="160" t="s">
        <v>209</v>
      </c>
    </row>
    <row r="29" spans="1:13" ht="15" customHeight="1" x14ac:dyDescent="0.2">
      <c r="B29" s="160" t="s">
        <v>210</v>
      </c>
    </row>
    <row r="30" spans="1:13" ht="15" customHeight="1" x14ac:dyDescent="0.2">
      <c r="B30" s="160" t="s">
        <v>211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2025-2026</vt:lpstr>
      <vt:lpstr>2026-2027</vt:lpstr>
      <vt:lpstr>calculs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TORRES NAVARRO, MAR</cp:lastModifiedBy>
  <cp:revision>10</cp:revision>
  <cp:lastPrinted>2025-05-18T07:53:35Z</cp:lastPrinted>
  <dcterms:created xsi:type="dcterms:W3CDTF">2020-05-11T16:09:40Z</dcterms:created>
  <dcterms:modified xsi:type="dcterms:W3CDTF">2026-07-21T12:19:58Z</dcterms:modified>
  <dc:language>ca-ES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